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DELL\MapUp-DA-Assessment-2024\"/>
    </mc:Choice>
  </mc:AlternateContent>
  <bookViews>
    <workbookView xWindow="0" yWindow="495" windowWidth="29400" windowHeight="16305" tabRatio="849" activeTab="3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20" l="1"/>
  <c r="C34" i="20"/>
  <c r="C35" i="20"/>
  <c r="C36" i="20"/>
  <c r="C37" i="20"/>
  <c r="C38" i="20"/>
  <c r="C39" i="20"/>
  <c r="C40" i="20"/>
  <c r="C41" i="20"/>
  <c r="C42" i="20"/>
  <c r="C43" i="20"/>
  <c r="C44" i="20"/>
  <c r="C32" i="20"/>
  <c r="C12" i="19"/>
  <c r="C30" i="18"/>
  <c r="D30" i="18"/>
  <c r="E30" i="18"/>
  <c r="F30" i="18"/>
  <c r="B30" i="18"/>
  <c r="C28" i="18"/>
  <c r="D28" i="18"/>
  <c r="E28" i="18"/>
  <c r="F28" i="18"/>
  <c r="B28" i="18"/>
  <c r="C29" i="18"/>
  <c r="D29" i="18"/>
  <c r="E29" i="18"/>
  <c r="F29" i="18"/>
  <c r="B29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6" i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  <c r="C13" i="19"/>
  <c r="C22" i="19"/>
</calcChain>
</file>

<file path=xl/sharedStrings.xml><?xml version="1.0" encoding="utf-8"?>
<sst xmlns="http://schemas.openxmlformats.org/spreadsheetml/2006/main" count="403" uniqueCount="181">
  <si>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</si>
  <si>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</si>
  <si>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</si>
  <si>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</si>
  <si>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</si>
  <si>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</si>
  <si>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</si>
  <si>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</si>
  <si>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</si>
  <si>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</si>
  <si>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</si>
  <si>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</si>
  <si>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</si>
  <si>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</si>
  <si>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</si>
  <si>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</si>
  <si>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</si>
  <si>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</si>
  <si>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</si>
  <si>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</si>
  <si>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</si>
  <si>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</si>
  <si>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</si>
  <si>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</si>
  <si>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</si>
  <si>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</si>
  <si>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</si>
  <si>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</si>
  <si>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</si>
  <si>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</si>
  <si>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</si>
  <si>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</si>
  <si>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</si>
  <si>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</si>
  <si>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</si>
  <si>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</si>
  <si>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</si>
  <si>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</si>
  <si>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</si>
  <si>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</si>
  <si>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</si>
  <si>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</si>
  <si>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</si>
  <si>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</si>
  <si>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</si>
  <si>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</si>
  <si>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</si>
  <si>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</si>
  <si>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</si>
  <si>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</si>
  <si>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</si>
  <si>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</si>
  <si>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</si>
  <si>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</si>
  <si>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</si>
  <si>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</si>
  <si>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</si>
  <si>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</si>
  <si>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</si>
  <si>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</si>
  <si>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</si>
  <si>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</si>
  <si>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</si>
  <si>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</si>
  <si>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</si>
  <si>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</si>
  <si>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</si>
  <si>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</si>
  <si>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</si>
  <si>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</si>
  <si>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</si>
  <si>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</si>
  <si>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</si>
  <si>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</si>
  <si>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</si>
  <si>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</si>
  <si>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</si>
  <si>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</si>
  <si>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</si>
  <si>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</si>
  <si>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</si>
  <si>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</si>
  <si>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</si>
  <si>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</si>
  <si>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</si>
  <si>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</si>
  <si>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</si>
  <si>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</si>
  <si>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</si>
  <si>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</si>
  <si>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</si>
  <si>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</si>
  <si>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</si>
  <si>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</si>
  <si>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</si>
  <si>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</si>
  <si>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</si>
  <si>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</si>
  <si>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</si>
  <si>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</si>
  <si>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</si>
  <si>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</si>
  <si>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</si>
  <si>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</si>
  <si>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</si>
  <si>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</si>
  <si>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</si>
  <si>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</si>
  <si>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</si>
  <si>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</si>
  <si>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</si>
  <si>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</si>
  <si>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</si>
  <si>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</si>
  <si>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</si>
  <si>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</si>
  <si>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</si>
  <si>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</si>
  <si>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</si>
  <si>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</si>
  <si>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</si>
  <si>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</si>
  <si>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</si>
  <si>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</si>
  <si>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</si>
  <si>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</si>
  <si>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</si>
  <si>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</si>
  <si>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</si>
  <si>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</si>
  <si>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</si>
  <si>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</si>
  <si>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</si>
  <si>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</si>
  <si>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</si>
  <si>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</si>
  <si>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</si>
  <si>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</si>
  <si>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</si>
  <si>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</si>
  <si>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</si>
  <si>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</si>
  <si>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</si>
  <si>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</si>
  <si>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</si>
  <si>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</si>
  <si>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</si>
  <si>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</si>
  <si>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</si>
  <si>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</si>
  <si>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</si>
  <si>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</si>
  <si>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</si>
  <si>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</si>
  <si>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</si>
  <si>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</si>
  <si>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</si>
  <si>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</si>
  <si>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</si>
  <si>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</si>
  <si>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</si>
  <si>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</si>
  <si>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</si>
  <si>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</si>
  <si>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</si>
  <si>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</si>
  <si>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</si>
  <si>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</si>
  <si>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</si>
  <si>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</si>
  <si>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</si>
  <si>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</si>
  <si>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</si>
  <si>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</si>
  <si>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</si>
  <si>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</si>
  <si>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</si>
  <si>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</si>
  <si>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r>
      <t xml:space="preserve">To split data in Excel, use </t>
    </r>
    <r>
      <rPr>
        <b/>
        <sz val="14"/>
        <color rgb="FF000000"/>
        <rFont val="Calibri"/>
        <family val="2"/>
        <scheme val="minor"/>
      </rPr>
      <t>Text to Columns</t>
    </r>
    <r>
      <rPr>
        <sz val="14"/>
        <color rgb="FF000000"/>
        <rFont val="Calibri"/>
        <family val="2"/>
        <scheme val="minor"/>
      </rPr>
      <t xml:space="preserve">: Select the column, go to </t>
    </r>
    <r>
      <rPr>
        <b/>
        <sz val="14"/>
        <color rgb="FF000000"/>
        <rFont val="Calibri"/>
        <family val="2"/>
        <scheme val="minor"/>
      </rPr>
      <t>Data &gt; Text to Columns</t>
    </r>
    <r>
      <rPr>
        <sz val="14"/>
        <color rgb="FF000000"/>
        <rFont val="Calibri"/>
        <family val="2"/>
        <scheme val="minor"/>
      </rPr>
      <t xml:space="preserve">, choose </t>
    </r>
    <r>
      <rPr>
        <b/>
        <sz val="14"/>
        <color rgb="FF000000"/>
        <rFont val="Calibri"/>
        <family val="2"/>
        <scheme val="minor"/>
      </rPr>
      <t>Delimited</t>
    </r>
    <r>
      <rPr>
        <sz val="14"/>
        <color rgb="FF000000"/>
        <rFont val="Calibri"/>
        <family val="2"/>
        <scheme val="minor"/>
      </rPr>
      <t xml:space="preserve">, set the delimiter to -, then finish. Alternatively, use </t>
    </r>
    <r>
      <rPr>
        <b/>
        <sz val="14"/>
        <color rgb="FF000000"/>
        <rFont val="Calibri"/>
        <family val="2"/>
        <scheme val="minor"/>
      </rPr>
      <t>Power Query</t>
    </r>
    <r>
      <rPr>
        <sz val="14"/>
        <color rgb="FF000000"/>
        <rFont val="Calibri"/>
        <family val="2"/>
        <scheme val="minor"/>
      </rPr>
      <t xml:space="preserve">: Select data, go to </t>
    </r>
    <r>
      <rPr>
        <b/>
        <sz val="14"/>
        <color rgb="FF000000"/>
        <rFont val="Calibri"/>
        <family val="2"/>
        <scheme val="minor"/>
      </rPr>
      <t>Data &gt; From Table/Range</t>
    </r>
    <r>
      <rPr>
        <sz val="14"/>
        <color rgb="FF000000"/>
        <rFont val="Calibri"/>
        <family val="2"/>
        <scheme val="minor"/>
      </rPr>
      <t>, split by delimiter, then load back.</t>
    </r>
  </si>
  <si>
    <t>Mapping IDs to Names Using VLOOKUP:
The VLOOKUP function is used to translate IDs in Table_C into corresponding names found in Table_B.
For example, if name_1 in Table_C has an ID 10100, the formula VLOOKUP(A2, $L$2:$M$10, 2, FALSE) returns the name "A" from Table_B. This helps us match name_1 and name_2 with the rows and columns in Table_A.
Identifying Row and Column in Table_A Using MATCH:
After obtaining the names for name_1 and name_2, we use MATCH to find their positions in Table_A.
MATCH(VLOOKUP(A2, $L$2:$M$10, 2, FALSE), $B$1:$J$1, 0) identifies the correct column in Table_A for name_1.
Similarly, MATCH(VLOOKUP(B2, $L$2:$M$10, 2, FALSE), $A$2:$A$10, 0) locates the appropriate row in Table_A for name_2.
Extracting the Value from Table_A Using INDEX:
Finally, we use the INDEX function to retrieve the value at the intersection of the row and column located by MATCH.</t>
  </si>
  <si>
    <t>Vlookup Match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</si>
</sst>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2" fillId="0" borderId="0" xfId="0" applyFont="1"/>
    <xf numFmtId="166" fontId="3" fillId="0" borderId="0" xfId="0" applyNumberFormat="1" applyFont="1"/>
    <xf numFmtId="0" fontId="15" fillId="0" borderId="0" xfId="0" applyFont="1" applyAlignment="1">
      <alignment horizontal="center"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left" vertical="top"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F3" sqref="F3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177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I1" zoomScaleNormal="100" workbookViewId="0">
      <pane ySplit="1" topLeftCell="A21" activePane="bottomLeft" state="frozen"/>
      <selection activeCell="K1" sqref="K1"/>
      <selection pane="bottomLeft" activeCell="J9" sqref="J9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25">
      <c r="A6" s="1" t="s">
        <v>9</v>
      </c>
      <c r="B6" s="1">
        <v>20008</v>
      </c>
      <c r="C6" s="1" t="b">
        <f>VLOOKUP(A6, Dataset!A2:N40, 14, FALSE)
=VLOOKUP(A6, Dataset!A2:N40, 14, FALSE)
=VLOOKUP(A6, Dataset!A2:N40, 14, FALSE)</f>
        <v>0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1">
        <f>SUMIF(H2:H40,"&gt;20")</f>
        <v>1473.0000000000002</v>
      </c>
    </row>
    <row r="42" spans="1:24" x14ac:dyDescent="0.25">
      <c r="H42" s="45"/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G2:X40">
    <cfRule type="cellIs" dxfId="3" priority="3" operator="equal">
      <formula>0</formula>
    </cfRule>
    <cfRule type="cellIs" dxfId="2" priority="4" operator="equal">
      <formula>-1</formula>
    </cfRule>
  </conditionalFormatting>
  <conditionalFormatting sqref="G10:X40">
    <cfRule type="cellIs" dxfId="1" priority="1" operator="equal">
      <formula>0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17" sqref="B17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30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abSelected="1" topLeftCell="A9" zoomScaleNormal="100" workbookViewId="0">
      <selection activeCell="E20" sqref="E2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VLOOKUP(A6,Dataset!A2:G40,7,0)</f>
        <v>2.7</v>
      </c>
      <c r="C6" s="12">
        <f>VLOOKUP(A6, Dataset!A2:N40, 14, FALSE)</f>
        <v>7.6</v>
      </c>
      <c r="D6" s="12">
        <f>VLOOKUP(A6,Dataset!A2:R40,18,0)</f>
        <v>4.2</v>
      </c>
      <c r="E6" s="12">
        <f>VLOOKUP(A6,Dataset!A2:T40,20,0)</f>
        <v>8.9</v>
      </c>
      <c r="F6" s="8">
        <f>VLOOKUP(A6,Dataset!A2:V40,22,0)</f>
        <v>4.2</v>
      </c>
    </row>
    <row r="7" spans="1:7" ht="15" x14ac:dyDescent="0.25">
      <c r="A7" s="7" t="s">
        <v>4</v>
      </c>
      <c r="B7" s="12">
        <f>VLOOKUP(A7,Dataset!A3:G41,7,0)</f>
        <v>2.7</v>
      </c>
      <c r="C7" s="12">
        <f>VLOOKUP(A7, Dataset!A3:N41, 14, FALSE)</f>
        <v>7.6</v>
      </c>
      <c r="D7" s="12">
        <f>VLOOKUP(A7,Dataset!A3:R41,18,0)</f>
        <v>4.2</v>
      </c>
      <c r="E7" s="12">
        <f>VLOOKUP(A7,Dataset!A3:T41,20,0)</f>
        <v>8.9</v>
      </c>
      <c r="F7" s="8">
        <f>VLOOKUP(A7,Dataset!A3:V41,22,0)</f>
        <v>4.2</v>
      </c>
    </row>
    <row r="8" spans="1:7" ht="15" x14ac:dyDescent="0.25">
      <c r="A8" s="7" t="s">
        <v>7</v>
      </c>
      <c r="B8" s="12">
        <f>VLOOKUP(A8,Dataset!A4:G42,7,0)</f>
        <v>3.6</v>
      </c>
      <c r="C8" s="12">
        <f>VLOOKUP(A8, Dataset!A4:N42, 14, FALSE)</f>
        <v>11.1</v>
      </c>
      <c r="D8" s="12">
        <f>VLOOKUP(A8,Dataset!A4:R42,18,0)</f>
        <v>5.8</v>
      </c>
      <c r="E8" s="12">
        <f>VLOOKUP(A8,Dataset!A4:T42,20,0)</f>
        <v>12.2</v>
      </c>
      <c r="F8" s="8">
        <f>VLOOKUP(A8,Dataset!A4:V42,22,0)</f>
        <v>5.8</v>
      </c>
    </row>
    <row r="9" spans="1:7" ht="15" x14ac:dyDescent="0.25">
      <c r="A9" s="7" t="s">
        <v>8</v>
      </c>
      <c r="B9" s="12">
        <f>VLOOKUP(A9,Dataset!A5:G43,7,0)</f>
        <v>4.9000000000000004</v>
      </c>
      <c r="C9" s="12">
        <f>VLOOKUP(A9, Dataset!A5:N43, 14, FALSE)</f>
        <v>13.3</v>
      </c>
      <c r="D9" s="12">
        <f>VLOOKUP(A9,Dataset!A5:R43,18,0)</f>
        <v>8.1</v>
      </c>
      <c r="E9" s="12">
        <f>VLOOKUP(A9,Dataset!A5:T43,20,0)</f>
        <v>17</v>
      </c>
      <c r="F9" s="8">
        <f>VLOOKUP(A9,Dataset!A5:V43,22,0)</f>
        <v>8.1</v>
      </c>
    </row>
    <row r="10" spans="1:7" ht="15" x14ac:dyDescent="0.25">
      <c r="A10" s="7" t="s">
        <v>11</v>
      </c>
      <c r="B10" s="12">
        <f>VLOOKUP(A10,Dataset!A6:G44,7,0)</f>
        <v>9.4</v>
      </c>
      <c r="C10" s="12">
        <f>VLOOKUP(A10, Dataset!A6:N44, 14, FALSE)</f>
        <v>28.3</v>
      </c>
      <c r="D10" s="12">
        <f>VLOOKUP(A10,Dataset!A6:R44,18,0)</f>
        <v>16.100000000000001</v>
      </c>
      <c r="E10" s="12">
        <f>VLOOKUP(A10,Dataset!A6:T44,20,0)</f>
        <v>32.799999999999997</v>
      </c>
      <c r="F10" s="8">
        <f>VLOOKUP(A10,Dataset!A6:V44,22,0)</f>
        <v>16.100000000000001</v>
      </c>
    </row>
    <row r="11" spans="1:7" ht="15" x14ac:dyDescent="0.25">
      <c r="A11" s="7" t="s">
        <v>12</v>
      </c>
      <c r="B11" s="12">
        <f>VLOOKUP(A11,Dataset!A7:G45,7,0)</f>
        <v>11.6</v>
      </c>
      <c r="C11" s="12">
        <f>VLOOKUP(A11, Dataset!A7:N45, 14, FALSE)</f>
        <v>35.200000000000003</v>
      </c>
      <c r="D11" s="12">
        <f>VLOOKUP(A11,Dataset!A7:R45,18,0)</f>
        <v>21.3</v>
      </c>
      <c r="E11" s="12">
        <f>VLOOKUP(A11,Dataset!A7:T45,20,0)</f>
        <v>43</v>
      </c>
      <c r="F11" s="8">
        <f>VLOOKUP(A11,Dataset!A7:V45,22,0)</f>
        <v>21.3</v>
      </c>
    </row>
    <row r="12" spans="1:7" ht="15" x14ac:dyDescent="0.25">
      <c r="A12" s="7" t="s">
        <v>14</v>
      </c>
      <c r="B12" s="12">
        <f>VLOOKUP(A12,Dataset!A8:G46,7,0)</f>
        <v>18.399999999999999</v>
      </c>
      <c r="C12" s="12">
        <f>VLOOKUP(A12, Dataset!A8:N46, 14, FALSE)</f>
        <v>55.6</v>
      </c>
      <c r="D12" s="12">
        <f>VLOOKUP(A12,Dataset!A8:R46,18,0)</f>
        <v>33.799999999999997</v>
      </c>
      <c r="E12" s="12">
        <f>VLOOKUP(A12,Dataset!A8:T46,20,0)</f>
        <v>67.900000000000006</v>
      </c>
      <c r="F12" s="8">
        <f>VLOOKUP(A12,Dataset!A8:V46,22,0)</f>
        <v>33.799999999999997</v>
      </c>
    </row>
    <row r="13" spans="1:7" ht="15" x14ac:dyDescent="0.25">
      <c r="A13" s="7" t="s">
        <v>15</v>
      </c>
      <c r="B13" s="12">
        <f>VLOOKUP(A13,Dataset!A9:G47,7,0)</f>
        <v>0</v>
      </c>
      <c r="C13" s="12">
        <f>VLOOKUP(A13, Dataset!A9:N47, 14, FALSE)</f>
        <v>0</v>
      </c>
      <c r="D13" s="12">
        <f>VLOOKUP(A13,Dataset!A9:R47,18,0)</f>
        <v>0</v>
      </c>
      <c r="E13" s="12">
        <f>VLOOKUP(A13,Dataset!A9:T47,20,0)</f>
        <v>0</v>
      </c>
      <c r="F13" s="8">
        <f>VLOOKUP(A13,Dataset!A9:V47,22,0)</f>
        <v>0</v>
      </c>
    </row>
    <row r="14" spans="1:7" ht="15" x14ac:dyDescent="0.25">
      <c r="A14" s="7" t="s">
        <v>16</v>
      </c>
      <c r="B14" s="12">
        <f>VLOOKUP(A14,Dataset!A10:G48,7,0)</f>
        <v>21.9</v>
      </c>
      <c r="C14" s="12">
        <f>VLOOKUP(A14, Dataset!A10:N48, 14, FALSE)</f>
        <v>61.5</v>
      </c>
      <c r="D14" s="12">
        <f>VLOOKUP(A14,Dataset!A10:R48,18,0)</f>
        <v>40.1</v>
      </c>
      <c r="E14" s="12">
        <f>VLOOKUP(A14,Dataset!A10:T48,20,0)</f>
        <v>76.599999999999994</v>
      </c>
      <c r="F14" s="8">
        <f>VLOOKUP(A14,Dataset!A10:V48,22,0)</f>
        <v>40.1</v>
      </c>
    </row>
    <row r="15" spans="1:7" ht="15" x14ac:dyDescent="0.25">
      <c r="A15" s="7" t="s">
        <v>18</v>
      </c>
      <c r="B15" s="12">
        <f>VLOOKUP(A15,Dataset!A11:G49,7,0)</f>
        <v>26.8</v>
      </c>
      <c r="C15" s="12">
        <f>VLOOKUP(A15, Dataset!A11:N49, 14, FALSE)</f>
        <v>79.599999999999994</v>
      </c>
      <c r="D15" s="12">
        <f>VLOOKUP(A15,Dataset!A11:R49,18,0)</f>
        <v>47.9</v>
      </c>
      <c r="E15" s="12">
        <f>VLOOKUP(A15,Dataset!A11:T49,20,0)</f>
        <v>96.8</v>
      </c>
      <c r="F15" s="8">
        <f>VLOOKUP(A15,Dataset!A11:V49,22,0)</f>
        <v>47.9</v>
      </c>
    </row>
    <row r="16" spans="1:7" ht="15" x14ac:dyDescent="0.25">
      <c r="A16" s="7" t="s">
        <v>20</v>
      </c>
      <c r="B16" s="12">
        <f>VLOOKUP(A16,Dataset!A12:G50,7,0)</f>
        <v>28.5</v>
      </c>
      <c r="C16" s="12">
        <f>VLOOKUP(A16, Dataset!A12:N50, 14, FALSE)</f>
        <v>85.4</v>
      </c>
      <c r="D16" s="12">
        <f>VLOOKUP(A16,Dataset!A12:R50,18,0)</f>
        <v>52.3</v>
      </c>
      <c r="E16" s="12">
        <f>VLOOKUP(A16,Dataset!A12:T50,20,0)</f>
        <v>106.1</v>
      </c>
      <c r="F16" s="8">
        <f>VLOOKUP(A16,Dataset!A12:V50,22,0)</f>
        <v>52.3</v>
      </c>
    </row>
    <row r="17" spans="1:6" ht="15" x14ac:dyDescent="0.25">
      <c r="A17" s="7" t="s">
        <v>22</v>
      </c>
      <c r="B17" s="12">
        <f>VLOOKUP(A17,Dataset!A13:G51,7,0)</f>
        <v>30.7</v>
      </c>
      <c r="C17" s="12">
        <f>VLOOKUP(A17, Dataset!A13:N51, 14, FALSE)</f>
        <v>92.1</v>
      </c>
      <c r="D17" s="12">
        <f>VLOOKUP(A17,Dataset!A13:R51,18,0)</f>
        <v>57</v>
      </c>
      <c r="E17" s="12">
        <f>VLOOKUP(A17,Dataset!A13:T51,20,0)</f>
        <v>115.1</v>
      </c>
      <c r="F17" s="8">
        <f>VLOOKUP(A17,Dataset!A13:V51,22,0)</f>
        <v>57</v>
      </c>
    </row>
    <row r="18" spans="1:6" ht="15" x14ac:dyDescent="0.25">
      <c r="A18" s="7" t="s">
        <v>23</v>
      </c>
      <c r="B18" s="12">
        <f>VLOOKUP(A18,Dataset!A14:G52,7,0)</f>
        <v>33.799999999999997</v>
      </c>
      <c r="C18" s="12">
        <f>VLOOKUP(A18, Dataset!A14:N52, 14, FALSE)</f>
        <v>101.3</v>
      </c>
      <c r="D18" s="12">
        <f>VLOOKUP(A18,Dataset!A14:R52,18,0)</f>
        <v>61.4</v>
      </c>
      <c r="E18" s="12">
        <f>VLOOKUP(A18,Dataset!A14:T52,20,0)</f>
        <v>124.4</v>
      </c>
      <c r="F18" s="8">
        <f>VLOOKUP(A18,Dataset!A14:V52,22,0)</f>
        <v>61.4</v>
      </c>
    </row>
    <row r="19" spans="1:6" ht="15" x14ac:dyDescent="0.25">
      <c r="A19" s="7" t="s">
        <v>24</v>
      </c>
      <c r="B19" s="12">
        <f>VLOOKUP(A19,Dataset!A15:G53,7,0)</f>
        <v>34.700000000000003</v>
      </c>
      <c r="C19" s="12">
        <f>VLOOKUP(A19, Dataset!A15:N53, 14, FALSE)</f>
        <v>106.1</v>
      </c>
      <c r="D19" s="12">
        <f>VLOOKUP(A19,Dataset!A15:R53,18,0)</f>
        <v>63.6</v>
      </c>
      <c r="E19" s="12">
        <f>VLOOKUP(A19,Dataset!A15:T53,20,0)</f>
        <v>128.6</v>
      </c>
      <c r="F19" s="8">
        <f>VLOOKUP(A19,Dataset!A15:V53,22,0)</f>
        <v>63.6</v>
      </c>
    </row>
    <row r="20" spans="1:6" ht="15" x14ac:dyDescent="0.25">
      <c r="A20" s="7" t="s">
        <v>28</v>
      </c>
      <c r="B20" s="12">
        <f>VLOOKUP(A20,Dataset!A16:G54,7,0)</f>
        <v>0</v>
      </c>
      <c r="C20" s="12">
        <f>VLOOKUP(A20, Dataset!A16:N54, 14, FALSE)</f>
        <v>0</v>
      </c>
      <c r="D20" s="12">
        <f>VLOOKUP(A20,Dataset!A16:R54,18,0)</f>
        <v>0</v>
      </c>
      <c r="E20" s="12">
        <f>VLOOKUP(A20,Dataset!A16:T54,20,0)</f>
        <v>0</v>
      </c>
      <c r="F20" s="8">
        <f>VLOOKUP(A20,Dataset!A16:V54,22,0)</f>
        <v>0</v>
      </c>
    </row>
    <row r="21" spans="1:6" ht="15" x14ac:dyDescent="0.25">
      <c r="A21" s="7" t="s">
        <v>57</v>
      </c>
      <c r="B21" s="12">
        <f>VLOOKUP(A21,Dataset!A17:G55,7,0)</f>
        <v>41.3</v>
      </c>
      <c r="C21" s="12">
        <f>VLOOKUP(A21, Dataset!A17:N55, 14, FALSE)</f>
        <v>124.4</v>
      </c>
      <c r="D21" s="12">
        <f>VLOOKUP(A21,Dataset!A17:R55,18,0)</f>
        <v>75</v>
      </c>
      <c r="E21" s="12">
        <f>VLOOKUP(A21,Dataset!A17:T55,20,0)</f>
        <v>151.5</v>
      </c>
      <c r="F21" s="8">
        <f>VLOOKUP(A21,Dataset!A17:V55,22,0)</f>
        <v>75</v>
      </c>
    </row>
    <row r="22" spans="1:6" ht="15" x14ac:dyDescent="0.25">
      <c r="A22" s="7" t="s">
        <v>58</v>
      </c>
      <c r="B22" s="12">
        <f>VLOOKUP(A22,Dataset!A18:G56,7,0)</f>
        <v>-1</v>
      </c>
      <c r="C22" s="12">
        <f>VLOOKUP(A22, Dataset!A18:N56, 14, FALSE)</f>
        <v>-1</v>
      </c>
      <c r="D22" s="12">
        <f>VLOOKUP(A22,Dataset!A18:R56,18,0)</f>
        <v>-1</v>
      </c>
      <c r="E22" s="12">
        <f>VLOOKUP(A22,Dataset!A18:T56,20,0)</f>
        <v>-1</v>
      </c>
      <c r="F22" s="8">
        <f>VLOOKUP(A22,Dataset!A18:V56,22,0)</f>
        <v>-1</v>
      </c>
    </row>
    <row r="23" spans="1:6" ht="15" x14ac:dyDescent="0.25">
      <c r="A23" s="7" t="s">
        <v>31</v>
      </c>
      <c r="B23" s="12">
        <f>VLOOKUP(A23,Dataset!A19:G57,7,0)</f>
        <v>45</v>
      </c>
      <c r="C23" s="12">
        <f>VLOOKUP(A23, Dataset!A19:N57, 14, FALSE)</f>
        <v>133.4</v>
      </c>
      <c r="D23" s="12">
        <f>VLOOKUP(A23,Dataset!A19:R57,18,0)</f>
        <v>79.400000000000006</v>
      </c>
      <c r="E23" s="12">
        <f>VLOOKUP(A23,Dataset!A19:T57,20,0)</f>
        <v>160.9</v>
      </c>
      <c r="F23" s="8">
        <f>VLOOKUP(A23,Dataset!A19:V57,22,0)</f>
        <v>79.400000000000006</v>
      </c>
    </row>
    <row r="24" spans="1:6" ht="15" x14ac:dyDescent="0.25">
      <c r="A24" s="7" t="s">
        <v>32</v>
      </c>
      <c r="B24" s="12">
        <f>VLOOKUP(A24,Dataset!A20:G58,7,0)</f>
        <v>-1</v>
      </c>
      <c r="C24" s="12">
        <f>VLOOKUP(A24, Dataset!A20:N58, 14, FALSE)</f>
        <v>-1</v>
      </c>
      <c r="D24" s="12">
        <f>VLOOKUP(A24,Dataset!A20:R58,18,0)</f>
        <v>-1</v>
      </c>
      <c r="E24" s="12">
        <f>VLOOKUP(A24,Dataset!A20:T58,20,0)</f>
        <v>-1</v>
      </c>
      <c r="F24" s="8">
        <f>VLOOKUP(A24,Dataset!A20:V58,22,0)</f>
        <v>-1</v>
      </c>
    </row>
    <row r="25" spans="1:6" ht="15" x14ac:dyDescent="0.25">
      <c r="A25" s="7" t="s">
        <v>34</v>
      </c>
      <c r="B25" s="12">
        <f>VLOOKUP(A25,Dataset!A21:G59,7,0)</f>
        <v>43.3</v>
      </c>
      <c r="C25" s="12">
        <f>VLOOKUP(A25, Dataset!A21:N59, 14, FALSE)</f>
        <v>128.6</v>
      </c>
      <c r="D25" s="12">
        <f>VLOOKUP(A25,Dataset!A21:R59,18,0)</f>
        <v>79.400000000000006</v>
      </c>
      <c r="E25" s="12">
        <f>VLOOKUP(A25,Dataset!A21:T59,20,0)</f>
        <v>160.9</v>
      </c>
      <c r="F25" s="8">
        <f>VLOOKUP(A25,Dataset!A21:V59,22,0)</f>
        <v>79.400000000000006</v>
      </c>
    </row>
    <row r="26" spans="1:6" ht="15" x14ac:dyDescent="0.25">
      <c r="A26" s="7" t="s">
        <v>37</v>
      </c>
      <c r="B26" s="12">
        <f>VLOOKUP(A26,Dataset!A22:G60,7,0)</f>
        <v>49.1</v>
      </c>
      <c r="C26" s="12">
        <f>VLOOKUP(A26, Dataset!A22:N60, 14, FALSE)</f>
        <v>146.80000000000001</v>
      </c>
      <c r="D26" s="12">
        <f>VLOOKUP(A26,Dataset!A22:R60,18,0)</f>
        <v>90.9</v>
      </c>
      <c r="E26" s="12">
        <f>VLOOKUP(A26,Dataset!A22:T60,20,0)</f>
        <v>183.5</v>
      </c>
      <c r="F26" s="8">
        <f>VLOOKUP(A26,Dataset!A22:V60,22,0)</f>
        <v>90.9</v>
      </c>
    </row>
    <row r="27" spans="1:6" ht="15" x14ac:dyDescent="0.25">
      <c r="A27" s="7" t="s">
        <v>39</v>
      </c>
      <c r="B27" s="12">
        <f>VLOOKUP(A27,Dataset!A23:G61,7,0)</f>
        <v>51.8</v>
      </c>
      <c r="C27" s="12">
        <f>VLOOKUP(A27, Dataset!A23:N61, 14, FALSE)</f>
        <v>156.4</v>
      </c>
      <c r="D27" s="12">
        <f>VLOOKUP(A27,Dataset!A23:R61,18,0)</f>
        <v>93.1</v>
      </c>
      <c r="E27" s="12">
        <f>VLOOKUP(A27,Dataset!A23:T61,20,0)</f>
        <v>188.1</v>
      </c>
      <c r="F27" s="8">
        <f>VLOOKUP(A27,Dataset!A23:V61,22,0)</f>
        <v>93.1</v>
      </c>
    </row>
    <row r="28" spans="1:6" ht="15" x14ac:dyDescent="0.25">
      <c r="A28" s="19" t="s">
        <v>82</v>
      </c>
      <c r="B28" s="12">
        <f>MIN(B2:B27)</f>
        <v>-1</v>
      </c>
      <c r="C28" s="12">
        <f t="shared" ref="C28:F28" si="0">MIN(C2:C27)</f>
        <v>-1</v>
      </c>
      <c r="D28" s="12">
        <f t="shared" si="0"/>
        <v>-1</v>
      </c>
      <c r="E28" s="12">
        <f t="shared" si="0"/>
        <v>-1</v>
      </c>
      <c r="F28" s="12">
        <f t="shared" si="0"/>
        <v>-1</v>
      </c>
    </row>
    <row r="29" spans="1:6" ht="15" x14ac:dyDescent="0.25">
      <c r="A29" s="19" t="s">
        <v>83</v>
      </c>
      <c r="B29" s="12">
        <f>MAX(B2:B27)</f>
        <v>51.8</v>
      </c>
      <c r="C29" s="12">
        <f t="shared" ref="C29:F29" si="1">MAX(C2:C27)</f>
        <v>156.4</v>
      </c>
      <c r="D29" s="12">
        <f t="shared" si="1"/>
        <v>93.1</v>
      </c>
      <c r="E29" s="12">
        <f t="shared" si="1"/>
        <v>188.1</v>
      </c>
      <c r="F29" s="12">
        <f t="shared" si="1"/>
        <v>93.1</v>
      </c>
    </row>
    <row r="30" spans="1:6" ht="15" x14ac:dyDescent="0.25">
      <c r="A30" s="19" t="s">
        <v>84</v>
      </c>
      <c r="B30" s="12">
        <f>AVERAGE(B2:B27)</f>
        <v>20.827272727272728</v>
      </c>
      <c r="C30" s="12">
        <f t="shared" ref="C30:F30" si="2">AVERAGE(C2:C27)</f>
        <v>62.377272727272725</v>
      </c>
      <c r="D30" s="12">
        <f t="shared" si="2"/>
        <v>37.800000000000004</v>
      </c>
      <c r="E30" s="12">
        <f t="shared" si="2"/>
        <v>76.418181818181822</v>
      </c>
      <c r="F30" s="12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F5" sqref="F5"/>
    </sheetView>
  </sheetViews>
  <sheetFormatPr defaultColWidth="11" defaultRowHeight="15" x14ac:dyDescent="0.25"/>
  <cols>
    <col min="1" max="1" width="39.83203125" style="1" bestFit="1" customWidth="1"/>
    <col min="2" max="2" width="40" style="1" customWidth="1"/>
    <col min="3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7.5" x14ac:dyDescent="0.3">
      <c r="A5" s="48" t="s">
        <v>53</v>
      </c>
      <c r="B5" s="47" t="s">
        <v>178</v>
      </c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22" sqref="C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f>SUM(IFERROR(C2:C11, 20))</f>
        <v>20</v>
      </c>
    </row>
    <row r="13" spans="1:3" ht="15" x14ac:dyDescent="0.25">
      <c r="A13" s="32">
        <v>44928</v>
      </c>
      <c r="B13" s="17" t="s">
        <v>60</v>
      </c>
      <c r="C13" s="17">
        <f ca="1">IFERROR(C13, 20)</f>
        <v>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45">
        <f ca="1">SUMIF(B12:B21, "&lt;&gt;#N/A", C12:C21) + COUNTIF(C12:C21, "#N/A") * 20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4"/>
  <sheetViews>
    <sheetView zoomScaleNormal="100" workbookViewId="0">
      <selection activeCell="B5" sqref="B5:P15"/>
    </sheetView>
  </sheetViews>
  <sheetFormatPr defaultColWidth="11" defaultRowHeight="12.75" x14ac:dyDescent="0.2"/>
  <cols>
    <col min="1" max="1" width="28.1640625" style="2" bestFit="1" customWidth="1"/>
    <col min="2" max="2" width="31.1640625" style="2" customWidth="1"/>
    <col min="3" max="16384" width="11" style="2"/>
  </cols>
  <sheetData>
    <row r="1" spans="1:16" ht="21" x14ac:dyDescent="0.35">
      <c r="A1" s="42" t="s">
        <v>98</v>
      </c>
      <c r="B1" s="41" t="s">
        <v>175</v>
      </c>
    </row>
    <row r="3" spans="1:16" ht="15" x14ac:dyDescent="0.25">
      <c r="B3" s="1" t="s">
        <v>151</v>
      </c>
    </row>
    <row r="4" spans="1:16" ht="18.75" x14ac:dyDescent="0.3">
      <c r="A4" s="43" t="s">
        <v>53</v>
      </c>
      <c r="B4" s="1"/>
      <c r="C4" s="2" t="s">
        <v>180</v>
      </c>
    </row>
    <row r="5" spans="1:16" ht="18.75" customHeight="1" x14ac:dyDescent="0.3">
      <c r="A5" s="43" t="s">
        <v>153</v>
      </c>
      <c r="B5" s="51" t="s">
        <v>179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</row>
    <row r="6" spans="1:16" ht="18.75" x14ac:dyDescent="0.3">
      <c r="A6" s="43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</row>
    <row r="7" spans="1:16" ht="18.75" x14ac:dyDescent="0.3">
      <c r="A7" s="43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1:16" ht="18.75" x14ac:dyDescent="0.3">
      <c r="A8" s="43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1:16" ht="18.75" x14ac:dyDescent="0.3">
      <c r="A9" s="43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</row>
    <row r="10" spans="1:16" ht="18.75" x14ac:dyDescent="0.3">
      <c r="A10" s="43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</row>
    <row r="11" spans="1:16" ht="18.75" x14ac:dyDescent="0.3">
      <c r="A11" s="43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</row>
    <row r="12" spans="1:16" ht="18.75" x14ac:dyDescent="0.3">
      <c r="A12" s="43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</row>
    <row r="13" spans="1:16" s="50" customFormat="1" ht="18.75" x14ac:dyDescent="0.3">
      <c r="A13" s="49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</row>
    <row r="14" spans="1:16" s="50" customFormat="1" ht="18.75" x14ac:dyDescent="0.3">
      <c r="A14" s="49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1:16" ht="15" x14ac:dyDescent="0.25">
      <c r="A15" s="3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</row>
    <row r="17" spans="1:14" ht="23.25" x14ac:dyDescent="0.35">
      <c r="A17" s="18" t="s">
        <v>162</v>
      </c>
      <c r="M17" s="18" t="s">
        <v>163</v>
      </c>
    </row>
    <row r="18" spans="1:14" ht="15" x14ac:dyDescent="0.25">
      <c r="A18" s="26"/>
      <c r="B18" s="26" t="s">
        <v>89</v>
      </c>
      <c r="C18" s="26" t="s">
        <v>90</v>
      </c>
      <c r="D18" s="26" t="s">
        <v>91</v>
      </c>
      <c r="E18" s="26" t="s">
        <v>92</v>
      </c>
      <c r="F18" s="26" t="s">
        <v>93</v>
      </c>
      <c r="G18" s="26" t="s">
        <v>94</v>
      </c>
      <c r="H18" s="26" t="s">
        <v>95</v>
      </c>
      <c r="I18" s="26" t="s">
        <v>96</v>
      </c>
      <c r="J18" s="26" t="s">
        <v>97</v>
      </c>
      <c r="M18" s="19" t="s">
        <v>43</v>
      </c>
      <c r="N18" s="19" t="s">
        <v>99</v>
      </c>
    </row>
    <row r="19" spans="1:14" ht="15" x14ac:dyDescent="0.25">
      <c r="A19" s="26" t="s">
        <v>89</v>
      </c>
      <c r="B19" s="25">
        <v>-1</v>
      </c>
      <c r="C19" s="25">
        <v>95</v>
      </c>
      <c r="D19" s="25">
        <v>-1</v>
      </c>
      <c r="E19" s="25">
        <v>185</v>
      </c>
      <c r="F19" s="25">
        <v>255</v>
      </c>
      <c r="G19" s="25">
        <v>305</v>
      </c>
      <c r="H19" s="25">
        <v>415</v>
      </c>
      <c r="I19" s="25">
        <v>480</v>
      </c>
      <c r="J19" s="25">
        <v>525</v>
      </c>
      <c r="M19" s="12">
        <v>10100</v>
      </c>
      <c r="N19" s="12" t="s">
        <v>89</v>
      </c>
    </row>
    <row r="20" spans="1:14" ht="15" x14ac:dyDescent="0.25">
      <c r="A20" s="26" t="s">
        <v>90</v>
      </c>
      <c r="B20" s="25">
        <v>95</v>
      </c>
      <c r="C20" s="25">
        <v>-1</v>
      </c>
      <c r="D20" s="25">
        <v>-1</v>
      </c>
      <c r="E20" s="25">
        <v>90</v>
      </c>
      <c r="F20" s="25">
        <v>160</v>
      </c>
      <c r="G20" s="25">
        <v>210</v>
      </c>
      <c r="H20" s="25">
        <v>325</v>
      </c>
      <c r="I20" s="25">
        <v>390</v>
      </c>
      <c r="J20" s="25">
        <v>430</v>
      </c>
      <c r="M20" s="12">
        <v>10102</v>
      </c>
      <c r="N20" s="12" t="s">
        <v>90</v>
      </c>
    </row>
    <row r="21" spans="1:14" ht="15" x14ac:dyDescent="0.25">
      <c r="A21" s="26" t="s">
        <v>91</v>
      </c>
      <c r="B21" s="25">
        <v>-1</v>
      </c>
      <c r="C21" s="25">
        <v>-1</v>
      </c>
      <c r="D21" s="25">
        <v>-1</v>
      </c>
      <c r="E21" s="25">
        <v>60</v>
      </c>
      <c r="F21" s="25">
        <v>130</v>
      </c>
      <c r="G21" s="25">
        <v>180</v>
      </c>
      <c r="H21" s="25">
        <v>295</v>
      </c>
      <c r="I21" s="25">
        <v>355</v>
      </c>
      <c r="J21" s="25">
        <v>400</v>
      </c>
      <c r="M21" s="12">
        <v>10104</v>
      </c>
      <c r="N21" s="12" t="s">
        <v>91</v>
      </c>
    </row>
    <row r="22" spans="1:14" ht="15" x14ac:dyDescent="0.25">
      <c r="A22" s="26" t="s">
        <v>92</v>
      </c>
      <c r="B22" s="25">
        <v>185</v>
      </c>
      <c r="C22" s="25">
        <v>90</v>
      </c>
      <c r="D22" s="25">
        <v>60</v>
      </c>
      <c r="E22" s="25">
        <v>-1</v>
      </c>
      <c r="F22" s="25">
        <v>70</v>
      </c>
      <c r="G22" s="25">
        <v>120</v>
      </c>
      <c r="H22" s="25">
        <v>235</v>
      </c>
      <c r="I22" s="25">
        <v>300</v>
      </c>
      <c r="J22" s="25">
        <v>340</v>
      </c>
      <c r="M22" s="12">
        <v>10106</v>
      </c>
      <c r="N22" s="12" t="s">
        <v>92</v>
      </c>
    </row>
    <row r="23" spans="1:14" ht="15" x14ac:dyDescent="0.25">
      <c r="A23" s="26" t="s">
        <v>93</v>
      </c>
      <c r="B23" s="25">
        <v>255</v>
      </c>
      <c r="C23" s="25">
        <v>160</v>
      </c>
      <c r="D23" s="25">
        <v>130</v>
      </c>
      <c r="E23" s="25">
        <v>70</v>
      </c>
      <c r="F23" s="25">
        <v>-1</v>
      </c>
      <c r="G23" s="25">
        <v>50</v>
      </c>
      <c r="H23" s="25">
        <v>165</v>
      </c>
      <c r="I23" s="25">
        <v>230</v>
      </c>
      <c r="J23" s="25">
        <v>270</v>
      </c>
      <c r="M23" s="12">
        <v>10108</v>
      </c>
      <c r="N23" s="12" t="s">
        <v>93</v>
      </c>
    </row>
    <row r="24" spans="1:14" ht="15" x14ac:dyDescent="0.25">
      <c r="A24" s="26" t="s">
        <v>94</v>
      </c>
      <c r="B24" s="25">
        <v>305</v>
      </c>
      <c r="C24" s="25">
        <v>210</v>
      </c>
      <c r="D24" s="25">
        <v>180</v>
      </c>
      <c r="E24" s="25">
        <v>120</v>
      </c>
      <c r="F24" s="25">
        <v>50</v>
      </c>
      <c r="G24" s="25">
        <v>-1</v>
      </c>
      <c r="H24" s="25">
        <v>115</v>
      </c>
      <c r="I24" s="25">
        <v>180</v>
      </c>
      <c r="J24" s="25">
        <v>220</v>
      </c>
      <c r="M24" s="12">
        <v>10110</v>
      </c>
      <c r="N24" s="12" t="s">
        <v>94</v>
      </c>
    </row>
    <row r="25" spans="1:14" ht="15" x14ac:dyDescent="0.25">
      <c r="A25" s="26" t="s">
        <v>95</v>
      </c>
      <c r="B25" s="25">
        <v>415</v>
      </c>
      <c r="C25" s="25">
        <v>325</v>
      </c>
      <c r="D25" s="25">
        <v>295</v>
      </c>
      <c r="E25" s="25">
        <v>235</v>
      </c>
      <c r="F25" s="25">
        <v>165</v>
      </c>
      <c r="G25" s="25">
        <v>115</v>
      </c>
      <c r="H25" s="25">
        <v>-1</v>
      </c>
      <c r="I25" s="25">
        <v>65</v>
      </c>
      <c r="J25" s="25">
        <v>105</v>
      </c>
      <c r="M25" s="12">
        <v>10112</v>
      </c>
      <c r="N25" s="12" t="s">
        <v>95</v>
      </c>
    </row>
    <row r="26" spans="1:14" ht="15" x14ac:dyDescent="0.25">
      <c r="A26" s="26" t="s">
        <v>96</v>
      </c>
      <c r="B26" s="25">
        <v>480</v>
      </c>
      <c r="C26" s="25">
        <v>390</v>
      </c>
      <c r="D26" s="25">
        <v>355</v>
      </c>
      <c r="E26" s="25">
        <v>300</v>
      </c>
      <c r="F26" s="25">
        <v>230</v>
      </c>
      <c r="G26" s="25">
        <v>180</v>
      </c>
      <c r="H26" s="25">
        <v>65</v>
      </c>
      <c r="I26" s="25">
        <v>-1</v>
      </c>
      <c r="J26" s="25">
        <v>40</v>
      </c>
      <c r="M26" s="12">
        <v>10114</v>
      </c>
      <c r="N26" s="12" t="s">
        <v>96</v>
      </c>
    </row>
    <row r="27" spans="1:14" ht="15" x14ac:dyDescent="0.25">
      <c r="A27" s="26" t="s">
        <v>97</v>
      </c>
      <c r="B27" s="25">
        <v>525</v>
      </c>
      <c r="C27" s="25">
        <v>430</v>
      </c>
      <c r="D27" s="25">
        <v>400</v>
      </c>
      <c r="E27" s="25">
        <v>340</v>
      </c>
      <c r="F27" s="25">
        <v>270</v>
      </c>
      <c r="G27" s="25">
        <v>220</v>
      </c>
      <c r="H27" s="25">
        <v>105</v>
      </c>
      <c r="I27" s="25">
        <v>40</v>
      </c>
      <c r="J27" s="25">
        <v>-1</v>
      </c>
      <c r="M27" s="13">
        <v>10116</v>
      </c>
      <c r="N27" s="13" t="s">
        <v>97</v>
      </c>
    </row>
    <row r="30" spans="1:14" ht="23.25" x14ac:dyDescent="0.35">
      <c r="A30" s="18" t="s">
        <v>168</v>
      </c>
    </row>
    <row r="31" spans="1:14" ht="15" x14ac:dyDescent="0.25">
      <c r="A31" s="14" t="s">
        <v>100</v>
      </c>
      <c r="B31" s="17" t="s">
        <v>101</v>
      </c>
      <c r="C31" s="16" t="s">
        <v>102</v>
      </c>
    </row>
    <row r="32" spans="1:14" ht="15" x14ac:dyDescent="0.25">
      <c r="A32" s="7">
        <v>10100</v>
      </c>
      <c r="B32" s="12">
        <v>10102</v>
      </c>
      <c r="C32" s="44" t="e">
        <f>INDEX($B$19:$J$27, MATCH(VLOOKUP(A19, $M$19:$N$27, 2, FALSE), $B$19:$J$19, 0), MATCH(VLOOKUP(B19, $M$19:$N$27, 2, FALSE), $A$19:$A$27, 0))</f>
        <v>#N/A</v>
      </c>
    </row>
    <row r="33" spans="1:3" ht="15" x14ac:dyDescent="0.25">
      <c r="A33" s="7">
        <v>10100</v>
      </c>
      <c r="B33" s="12">
        <v>10104</v>
      </c>
      <c r="C33" s="44" t="e">
        <f t="shared" ref="C33:C44" si="0">INDEX($B$19:$J$27, MATCH(VLOOKUP(A20, $M$19:$N$27, 2, FALSE), $B$19:$J$19, 0), MATCH(VLOOKUP(B20, $M$19:$N$27, 2, FALSE), $A$19:$A$27, 0))</f>
        <v>#N/A</v>
      </c>
    </row>
    <row r="34" spans="1:3" ht="15" x14ac:dyDescent="0.25">
      <c r="A34" s="7">
        <v>10108</v>
      </c>
      <c r="B34" s="12">
        <v>10102</v>
      </c>
      <c r="C34" s="44" t="e">
        <f t="shared" si="0"/>
        <v>#N/A</v>
      </c>
    </row>
    <row r="35" spans="1:3" ht="15" x14ac:dyDescent="0.25">
      <c r="A35" s="7">
        <v>10100</v>
      </c>
      <c r="B35" s="12">
        <v>10106</v>
      </c>
      <c r="C35" s="44" t="e">
        <f t="shared" si="0"/>
        <v>#N/A</v>
      </c>
    </row>
    <row r="36" spans="1:3" ht="15" x14ac:dyDescent="0.25">
      <c r="A36" s="7">
        <v>10108</v>
      </c>
      <c r="B36" s="12">
        <v>10110</v>
      </c>
      <c r="C36" s="44" t="e">
        <f t="shared" si="0"/>
        <v>#N/A</v>
      </c>
    </row>
    <row r="37" spans="1:3" ht="15" x14ac:dyDescent="0.25">
      <c r="A37" s="7">
        <v>10102</v>
      </c>
      <c r="B37" s="12">
        <v>10104</v>
      </c>
      <c r="C37" s="44" t="e">
        <f t="shared" si="0"/>
        <v>#N/A</v>
      </c>
    </row>
    <row r="38" spans="1:3" ht="15" x14ac:dyDescent="0.25">
      <c r="A38" s="7">
        <v>10106</v>
      </c>
      <c r="B38" s="12">
        <v>10108</v>
      </c>
      <c r="C38" s="44" t="e">
        <f t="shared" si="0"/>
        <v>#N/A</v>
      </c>
    </row>
    <row r="39" spans="1:3" ht="15" x14ac:dyDescent="0.25">
      <c r="A39" s="7">
        <v>10102</v>
      </c>
      <c r="B39" s="12">
        <v>10106</v>
      </c>
      <c r="C39" s="44" t="e">
        <f t="shared" si="0"/>
        <v>#N/A</v>
      </c>
    </row>
    <row r="40" spans="1:3" ht="15" x14ac:dyDescent="0.25">
      <c r="A40" s="7">
        <v>10110</v>
      </c>
      <c r="B40" s="12">
        <v>10114</v>
      </c>
      <c r="C40" s="44" t="e">
        <f t="shared" si="0"/>
        <v>#N/A</v>
      </c>
    </row>
    <row r="41" spans="1:3" ht="15" x14ac:dyDescent="0.25">
      <c r="A41" s="7">
        <v>10104</v>
      </c>
      <c r="B41" s="12">
        <v>10106</v>
      </c>
      <c r="C41" s="44" t="e">
        <f t="shared" si="0"/>
        <v>#N/A</v>
      </c>
    </row>
    <row r="42" spans="1:3" ht="15" x14ac:dyDescent="0.25">
      <c r="A42" s="7">
        <v>10110</v>
      </c>
      <c r="B42" s="12">
        <v>10112</v>
      </c>
      <c r="C42" s="44" t="e">
        <f t="shared" si="0"/>
        <v>#N/A</v>
      </c>
    </row>
    <row r="43" spans="1:3" ht="15" x14ac:dyDescent="0.25">
      <c r="A43" s="7">
        <v>10100</v>
      </c>
      <c r="B43" s="12">
        <v>10114</v>
      </c>
      <c r="C43" s="44" t="e">
        <f t="shared" si="0"/>
        <v>#N/A</v>
      </c>
    </row>
    <row r="44" spans="1:3" ht="15" x14ac:dyDescent="0.25">
      <c r="A44" s="9">
        <v>10112</v>
      </c>
      <c r="B44" s="13">
        <v>10116</v>
      </c>
      <c r="C44" s="44" t="e">
        <f t="shared" si="0"/>
        <v>#N/A</v>
      </c>
    </row>
  </sheetData>
  <mergeCells count="1">
    <mergeCell ref="B5:P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2015-02-10T17:33:11Z</dcterms:created>
  <dcterms:modified xsi:type="dcterms:W3CDTF">2024-10-25T12:16:17Z</dcterms:modified>
</cp:coreProperties>
</file>