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91904\Downloads\MapUp-DA-Assessment-2024\submissions\"/>
    </mc:Choice>
  </mc:AlternateContent>
  <xr:revisionPtr revIDLastSave="0" documentId="13_ncr:1_{97708585-B876-44CA-B134-C6E20B852F33}" xr6:coauthVersionLast="47" xr6:coauthVersionMax="47" xr10:uidLastSave="{00000000-0000-0000-0000-000000000000}"/>
  <bookViews>
    <workbookView xWindow="-108" yWindow="-108" windowWidth="23256" windowHeight="13176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C23" i="20" l="1"/>
  <c r="C24" i="20"/>
  <c r="C25" i="20"/>
  <c r="C26" i="20"/>
  <c r="C27" i="20"/>
  <c r="C28" i="20"/>
  <c r="C29" i="20"/>
  <c r="C30" i="20"/>
  <c r="C31" i="20"/>
  <c r="C32" i="20"/>
  <c r="C33" i="20"/>
  <c r="C34" i="20"/>
  <c r="C35" i="20"/>
  <c r="B6" i="19" a="1"/>
  <c r="B6" i="19" s="1"/>
  <c r="C22" i="19" a="1"/>
  <c r="C22" i="19" s="1"/>
  <c r="C30" i="18"/>
  <c r="D30" i="18"/>
  <c r="E30" i="18"/>
  <c r="F30" i="18"/>
  <c r="B30" i="18"/>
  <c r="C29" i="18"/>
  <c r="D29" i="18"/>
  <c r="E29" i="18"/>
  <c r="F29" i="18"/>
  <c r="B29" i="18"/>
  <c r="C28" i="18"/>
  <c r="D28" i="18"/>
  <c r="E28" i="18"/>
  <c r="F28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C5" i="15"/>
  <c r="I42" i="1"/>
</calcChain>
</file>

<file path=xl/sharedStrings.xml><?xml version="1.0" encoding="utf-8"?>
<sst xmlns="http://schemas.openxmlformats.org/spreadsheetml/2006/main" count="406" uniqueCount="183">
  <si>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</si>
  <si>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</si>
  <si>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</si>
  <si>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</si>
  <si>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</si>
  <si>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</si>
  <si>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</si>
  <si>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</si>
  <si>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</si>
  <si>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</si>
  <si>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</si>
  <si>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</si>
  <si>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</si>
  <si>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</si>
  <si>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</si>
  <si>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</si>
  <si>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</si>
  <si>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</si>
  <si>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</si>
  <si>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</si>
  <si>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</si>
  <si>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</si>
  <si>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</si>
  <si>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</si>
  <si>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</si>
  <si>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</si>
  <si>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</si>
  <si>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</si>
  <si>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</si>
  <si>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</si>
  <si>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</si>
  <si>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</si>
  <si>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</si>
  <si>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</si>
  <si>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</si>
  <si>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</si>
  <si>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</si>
  <si>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</si>
  <si>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</si>
  <si>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</si>
  <si>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</si>
  <si>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</si>
  <si>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</si>
  <si>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</si>
  <si>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</si>
  <si>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</si>
  <si>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</si>
  <si>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</si>
  <si>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</si>
  <si>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</si>
  <si>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</si>
  <si>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</si>
  <si>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</si>
  <si>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</si>
  <si>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</si>
  <si>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</si>
  <si>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</si>
  <si>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</si>
  <si>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</si>
  <si>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</si>
  <si>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</si>
  <si>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</si>
  <si>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</si>
  <si>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</si>
  <si>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</si>
  <si>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</si>
  <si>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</si>
  <si>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</si>
  <si>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</si>
  <si>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</si>
  <si>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</si>
  <si>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</si>
  <si>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</si>
  <si>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</si>
  <si>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</si>
  <si>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</si>
  <si>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</si>
  <si>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</si>
  <si>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</si>
  <si>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</si>
  <si>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</si>
  <si>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</si>
  <si>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</si>
  <si>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</si>
  <si>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</si>
  <si>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</si>
  <si>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</si>
  <si>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</si>
  <si>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</si>
  <si>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</si>
  <si>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</si>
  <si>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</si>
  <si>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</si>
  <si>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</si>
  <si>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</si>
  <si>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</si>
  <si>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</si>
  <si>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</si>
  <si>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</si>
  <si>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</si>
  <si>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</si>
  <si>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</si>
  <si>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</si>
  <si>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</si>
  <si>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</si>
  <si>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</si>
  <si>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</si>
  <si>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</si>
  <si>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</si>
  <si>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</si>
  <si>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</si>
  <si>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</si>
  <si>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</si>
  <si>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</si>
  <si>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</si>
  <si>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</si>
  <si>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</si>
  <si>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</si>
  <si>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</si>
  <si>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</si>
  <si>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</si>
  <si>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</si>
  <si>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</si>
  <si>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</si>
  <si>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</si>
  <si>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</si>
  <si>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</si>
  <si>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</si>
  <si>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</si>
  <si>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</si>
  <si>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</si>
  <si>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</si>
  <si>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</si>
  <si>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</si>
  <si>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</si>
  <si>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</si>
  <si>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</si>
  <si>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</si>
  <si>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</si>
  <si>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</si>
  <si>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</si>
  <si>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</si>
  <si>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</si>
  <si>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</si>
  <si>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</si>
  <si>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</si>
  <si>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</si>
  <si>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</si>
  <si>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</si>
  <si>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</si>
  <si>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</si>
  <si>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</si>
  <si>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</si>
  <si>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</si>
  <si>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</si>
  <si>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</si>
  <si>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</si>
  <si>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</si>
  <si>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</si>
  <si>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</si>
  <si>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</si>
  <si>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</si>
  <si>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</si>
  <si>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</si>
  <si>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</si>
  <si>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</si>
  <si>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</si>
  <si>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</si>
  <si>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</si>
  <si>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</si>
  <si>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</si>
  <si>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</si>
  <si>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</si>
  <si>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</si>
  <si>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</si>
  <si>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</si>
  <si>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</si>
  <si>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the sum of all values greater than '20' in column H :</t>
  </si>
  <si>
    <t>I have used the Text to Column tool to complete this task. Process : Selected the range that contains values in column A, Selected Text to Columns in the Data tab, Selected hyphen(-) as the delimiter and set $B$16 as the destination.</t>
  </si>
  <si>
    <t>Text to Column</t>
  </si>
  <si>
    <t>Used the SUM() function along with the IFERROR function to replace any cell that gives rise to an error with 20. Then enteres Ctrl+Shift+Enter to get the value.</t>
  </si>
  <si>
    <t>VLOOKUP()</t>
  </si>
  <si>
    <t>Used nested VLOOKUP() functions to first find the name of name_1, name_2 from the corresponding ID in Table B, then used both to find the value from the relevant row and column.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</si>
</sst>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7" formatCode="[$-14009]yyyy/mm/dd;@"/>
  </numFmts>
  <fonts count="19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D4D4D4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8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167" fontId="7" fillId="0" borderId="0" xfId="0" applyNumberFormat="1" applyFont="1"/>
    <xf numFmtId="167" fontId="3" fillId="0" borderId="0" xfId="0" applyNumberFormat="1" applyFont="1"/>
    <xf numFmtId="0" fontId="15" fillId="0" borderId="0" xfId="0" applyFont="1" applyAlignment="1">
      <alignment horizontal="center" wrapText="1"/>
    </xf>
    <xf numFmtId="0" fontId="18" fillId="0" borderId="0" xfId="0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8"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7"/>
      <tableStyleElement type="headerRow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9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176</v>
      </c>
      <c r="C4" s="1"/>
    </row>
    <row r="5" spans="1:3" x14ac:dyDescent="0.3">
      <c r="A5" s="2" t="s">
        <v>151</v>
      </c>
    </row>
    <row r="8" spans="1:3" x14ac:dyDescent="0.3">
      <c r="A8" s="2" t="s">
        <v>172</v>
      </c>
    </row>
    <row r="9" spans="1:3" x14ac:dyDescent="0.3">
      <c r="A9" s="36" t="s">
        <v>170</v>
      </c>
      <c r="B9" s="26" t="s">
        <v>168</v>
      </c>
    </row>
    <row r="10" spans="1:3" x14ac:dyDescent="0.3">
      <c r="A10" s="35" t="s">
        <v>171</v>
      </c>
      <c r="B10" s="37">
        <v>25</v>
      </c>
    </row>
    <row r="11" spans="1:3" x14ac:dyDescent="0.3">
      <c r="A11" s="35" t="s">
        <v>55</v>
      </c>
      <c r="B11" s="37">
        <v>30</v>
      </c>
    </row>
    <row r="12" spans="1:3" x14ac:dyDescent="0.3">
      <c r="A12" s="35" t="s">
        <v>56</v>
      </c>
      <c r="B12" s="37">
        <v>10</v>
      </c>
    </row>
    <row r="13" spans="1:3" x14ac:dyDescent="0.3">
      <c r="A13" s="35" t="s">
        <v>85</v>
      </c>
      <c r="B13" s="37">
        <v>20</v>
      </c>
    </row>
    <row r="14" spans="1:3" x14ac:dyDescent="0.3">
      <c r="A14" s="35" t="s">
        <v>98</v>
      </c>
      <c r="B14" s="37">
        <v>40</v>
      </c>
    </row>
    <row r="15" spans="1:3" x14ac:dyDescent="0.3">
      <c r="A15" s="38" t="s">
        <v>169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2"/>
  <sheetViews>
    <sheetView topLeftCell="K1" zoomScaleNormal="100" workbookViewId="0">
      <pane ySplit="1" topLeftCell="A2" activePane="bottomLeft" state="frozen"/>
      <selection activeCell="D1" sqref="D1"/>
      <selection pane="bottomLeft" activeCell="N19" sqref="N19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45" bestFit="1" customWidth="1"/>
    <col min="25" max="16384" width="9" style="1"/>
  </cols>
  <sheetData>
    <row r="1" spans="1:24" s="3" customFormat="1" ht="14.7" customHeight="1" x14ac:dyDescent="0.3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4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5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5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5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5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5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5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5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5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5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5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5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5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5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5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5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5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5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5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5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5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5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5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5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5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5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5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5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5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5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5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5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5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5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5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5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5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5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5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5">
        <v>45162</v>
      </c>
    </row>
    <row r="42" spans="1:24" x14ac:dyDescent="0.3">
      <c r="H42" s="1" t="s">
        <v>177</v>
      </c>
      <c r="I42" s="3">
        <f>SUMIF(H:H,"&gt;20",H:H)</f>
        <v>1473.0000000000002</v>
      </c>
    </row>
  </sheetData>
  <conditionalFormatting sqref="G2:W40">
    <cfRule type="cellIs" dxfId="1" priority="1" operator="equal">
      <formula>0</formula>
    </cfRule>
    <cfRule type="cellIs" dxfId="0" priority="2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5" sqref="C5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175</v>
      </c>
    </row>
    <row r="2" spans="1:5" x14ac:dyDescent="0.3">
      <c r="A2" s="2"/>
      <c r="B2" s="5" t="s">
        <v>159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4">
        <f>SUMIF(H:H,"&gt;20",H:H)</f>
        <v>0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B6" sqref="B6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1" customFormat="1" ht="21" x14ac:dyDescent="0.4">
      <c r="A1" s="42" t="s">
        <v>55</v>
      </c>
      <c r="B1" s="41" t="s">
        <v>163</v>
      </c>
    </row>
    <row r="2" spans="1:7" s="41" customFormat="1" ht="21" x14ac:dyDescent="0.4">
      <c r="B2" s="41" t="s">
        <v>160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8" t="s">
        <v>161</v>
      </c>
      <c r="B4" s="1"/>
      <c r="C4" s="1"/>
      <c r="D4" s="1"/>
      <c r="E4" s="1"/>
      <c r="F4" s="1"/>
      <c r="G4" s="1"/>
    </row>
    <row r="5" spans="1:7" ht="14.4" x14ac:dyDescent="0.3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4" x14ac:dyDescent="0.3">
      <c r="A6" s="7" t="s">
        <v>40</v>
      </c>
      <c r="B6" s="12">
        <f>INDEX(Dataset!G:G, MATCH(A6, Dataset!A:A, 0))</f>
        <v>2.7</v>
      </c>
      <c r="C6" s="12">
        <f>INDEX(Dataset!N:N, MATCH(A6, Dataset!A:A, 0))</f>
        <v>7.6</v>
      </c>
      <c r="D6" s="12">
        <f>INDEX(Dataset!R:R, MATCH(A6, Dataset!A:A, 0))</f>
        <v>4.2</v>
      </c>
      <c r="E6" s="12">
        <f>INDEX(Dataset!T:T, MATCH(A6, Dataset!A:A, 0))</f>
        <v>8.9</v>
      </c>
      <c r="F6" s="8">
        <f>INDEX(Dataset!V:V, MATCH(A6, Dataset!A:A, 0))</f>
        <v>4.2</v>
      </c>
    </row>
    <row r="7" spans="1:7" ht="14.4" x14ac:dyDescent="0.3">
      <c r="A7" s="7" t="s">
        <v>4</v>
      </c>
      <c r="B7" s="12">
        <f>INDEX(Dataset!G:G, MATCH(A7, Dataset!A:A, 0))</f>
        <v>2.7</v>
      </c>
      <c r="C7" s="12">
        <f>INDEX(Dataset!N:N, MATCH(A7, Dataset!A:A, 0))</f>
        <v>7.6</v>
      </c>
      <c r="D7" s="12">
        <f>INDEX(Dataset!R:R, MATCH(A7, Dataset!A:A, 0))</f>
        <v>4.2</v>
      </c>
      <c r="E7" s="12">
        <f>INDEX(Dataset!T:T, MATCH(A7, Dataset!A:A, 0))</f>
        <v>8.9</v>
      </c>
      <c r="F7" s="8">
        <f>INDEX(Dataset!V:V, MATCH(A7, Dataset!A:A, 0))</f>
        <v>4.2</v>
      </c>
    </row>
    <row r="8" spans="1:7" ht="14.4" x14ac:dyDescent="0.3">
      <c r="A8" s="7" t="s">
        <v>7</v>
      </c>
      <c r="B8" s="12">
        <f>INDEX(Dataset!G:G, MATCH(A8, Dataset!A:A, 0))</f>
        <v>3.6</v>
      </c>
      <c r="C8" s="12">
        <f>INDEX(Dataset!N:N, MATCH(A8, Dataset!A:A, 0))</f>
        <v>11.1</v>
      </c>
      <c r="D8" s="12">
        <f>INDEX(Dataset!R:R, MATCH(A8, Dataset!A:A, 0))</f>
        <v>5.8</v>
      </c>
      <c r="E8" s="12">
        <f>INDEX(Dataset!T:T, MATCH(A8, Dataset!A:A, 0))</f>
        <v>12.2</v>
      </c>
      <c r="F8" s="8">
        <f>INDEX(Dataset!V:V, MATCH(A8, Dataset!A:A, 0))</f>
        <v>5.8</v>
      </c>
    </row>
    <row r="9" spans="1:7" ht="14.4" x14ac:dyDescent="0.3">
      <c r="A9" s="7" t="s">
        <v>8</v>
      </c>
      <c r="B9" s="12">
        <f>INDEX(Dataset!G:G, MATCH(A9, Dataset!A:A, 0))</f>
        <v>4.9000000000000004</v>
      </c>
      <c r="C9" s="12">
        <f>INDEX(Dataset!N:N, MATCH(A9, Dataset!A:A, 0))</f>
        <v>13.3</v>
      </c>
      <c r="D9" s="12">
        <f>INDEX(Dataset!R:R, MATCH(A9, Dataset!A:A, 0))</f>
        <v>8.1</v>
      </c>
      <c r="E9" s="12">
        <f>INDEX(Dataset!T:T, MATCH(A9, Dataset!A:A, 0))</f>
        <v>17</v>
      </c>
      <c r="F9" s="8">
        <f>INDEX(Dataset!V:V, MATCH(A9, Dataset!A:A, 0))</f>
        <v>8.1</v>
      </c>
    </row>
    <row r="10" spans="1:7" ht="14.4" x14ac:dyDescent="0.3">
      <c r="A10" s="7" t="s">
        <v>11</v>
      </c>
      <c r="B10" s="12">
        <f>INDEX(Dataset!G:G, MATCH(A10, Dataset!A:A, 0))</f>
        <v>9.4</v>
      </c>
      <c r="C10" s="12">
        <f>INDEX(Dataset!N:N, MATCH(A10, Dataset!A:A, 0))</f>
        <v>28.3</v>
      </c>
      <c r="D10" s="12">
        <f>INDEX(Dataset!R:R, MATCH(A10, Dataset!A:A, 0))</f>
        <v>16.100000000000001</v>
      </c>
      <c r="E10" s="12">
        <f>INDEX(Dataset!T:T, MATCH(A10, Dataset!A:A, 0))</f>
        <v>32.799999999999997</v>
      </c>
      <c r="F10" s="8">
        <f>INDEX(Dataset!V:V, MATCH(A10, Dataset!A:A, 0))</f>
        <v>16.100000000000001</v>
      </c>
    </row>
    <row r="11" spans="1:7" ht="14.4" x14ac:dyDescent="0.3">
      <c r="A11" s="7" t="s">
        <v>12</v>
      </c>
      <c r="B11" s="12">
        <f>INDEX(Dataset!G:G, MATCH(A11, Dataset!A:A, 0))</f>
        <v>11.6</v>
      </c>
      <c r="C11" s="12">
        <f>INDEX(Dataset!N:N, MATCH(A11, Dataset!A:A, 0))</f>
        <v>35.200000000000003</v>
      </c>
      <c r="D11" s="12">
        <f>INDEX(Dataset!R:R, MATCH(A11, Dataset!A:A, 0))</f>
        <v>21.3</v>
      </c>
      <c r="E11" s="12">
        <f>INDEX(Dataset!T:T, MATCH(A11, Dataset!A:A, 0))</f>
        <v>43</v>
      </c>
      <c r="F11" s="8">
        <f>INDEX(Dataset!V:V, MATCH(A11, Dataset!A:A, 0))</f>
        <v>21.3</v>
      </c>
    </row>
    <row r="12" spans="1:7" ht="14.4" x14ac:dyDescent="0.3">
      <c r="A12" s="7" t="s">
        <v>14</v>
      </c>
      <c r="B12" s="12">
        <f>INDEX(Dataset!G:G, MATCH(A12, Dataset!A:A, 0))</f>
        <v>18.399999999999999</v>
      </c>
      <c r="C12" s="12">
        <f>INDEX(Dataset!N:N, MATCH(A12, Dataset!A:A, 0))</f>
        <v>55.6</v>
      </c>
      <c r="D12" s="12">
        <f>INDEX(Dataset!R:R, MATCH(A12, Dataset!A:A, 0))</f>
        <v>33.799999999999997</v>
      </c>
      <c r="E12" s="12">
        <f>INDEX(Dataset!T:T, MATCH(A12, Dataset!A:A, 0))</f>
        <v>67.900000000000006</v>
      </c>
      <c r="F12" s="8">
        <f>INDEX(Dataset!V:V, MATCH(A12, Dataset!A:A, 0))</f>
        <v>33.799999999999997</v>
      </c>
    </row>
    <row r="13" spans="1:7" ht="14.4" x14ac:dyDescent="0.3">
      <c r="A13" s="7" t="s">
        <v>15</v>
      </c>
      <c r="B13" s="12">
        <f>INDEX(Dataset!G:G, MATCH(A13, Dataset!A:A, 0))</f>
        <v>0</v>
      </c>
      <c r="C13" s="12">
        <f>INDEX(Dataset!N:N, MATCH(A13, Dataset!A:A, 0))</f>
        <v>0</v>
      </c>
      <c r="D13" s="12">
        <f>INDEX(Dataset!R:R, MATCH(A13, Dataset!A:A, 0))</f>
        <v>0</v>
      </c>
      <c r="E13" s="12">
        <f>INDEX(Dataset!T:T, MATCH(A13, Dataset!A:A, 0))</f>
        <v>0</v>
      </c>
      <c r="F13" s="8">
        <f>INDEX(Dataset!V:V, MATCH(A13, Dataset!A:A, 0))</f>
        <v>0</v>
      </c>
    </row>
    <row r="14" spans="1:7" ht="14.4" x14ac:dyDescent="0.3">
      <c r="A14" s="7" t="s">
        <v>16</v>
      </c>
      <c r="B14" s="12">
        <f>INDEX(Dataset!G:G, MATCH(A14, Dataset!A:A, 0))</f>
        <v>21.9</v>
      </c>
      <c r="C14" s="12">
        <f>INDEX(Dataset!N:N, MATCH(A14, Dataset!A:A, 0))</f>
        <v>61.5</v>
      </c>
      <c r="D14" s="12">
        <f>INDEX(Dataset!R:R, MATCH(A14, Dataset!A:A, 0))</f>
        <v>40.1</v>
      </c>
      <c r="E14" s="12">
        <f>INDEX(Dataset!T:T, MATCH(A14, Dataset!A:A, 0))</f>
        <v>76.599999999999994</v>
      </c>
      <c r="F14" s="8">
        <f>INDEX(Dataset!V:V, MATCH(A14, Dataset!A:A, 0))</f>
        <v>40.1</v>
      </c>
    </row>
    <row r="15" spans="1:7" ht="14.4" x14ac:dyDescent="0.3">
      <c r="A15" s="7" t="s">
        <v>18</v>
      </c>
      <c r="B15" s="12">
        <f>INDEX(Dataset!G:G, MATCH(A15, Dataset!A:A, 0))</f>
        <v>26.8</v>
      </c>
      <c r="C15" s="12">
        <f>INDEX(Dataset!N:N, MATCH(A15, Dataset!A:A, 0))</f>
        <v>79.599999999999994</v>
      </c>
      <c r="D15" s="12">
        <f>INDEX(Dataset!R:R, MATCH(A15, Dataset!A:A, 0))</f>
        <v>47.9</v>
      </c>
      <c r="E15" s="12">
        <f>INDEX(Dataset!T:T, MATCH(A15, Dataset!A:A, 0))</f>
        <v>96.8</v>
      </c>
      <c r="F15" s="8">
        <f>INDEX(Dataset!V:V, MATCH(A15, Dataset!A:A, 0))</f>
        <v>47.9</v>
      </c>
    </row>
    <row r="16" spans="1:7" ht="14.4" x14ac:dyDescent="0.3">
      <c r="A16" s="7" t="s">
        <v>20</v>
      </c>
      <c r="B16" s="12">
        <f>INDEX(Dataset!G:G, MATCH(A16, Dataset!A:A, 0))</f>
        <v>28.5</v>
      </c>
      <c r="C16" s="12">
        <f>INDEX(Dataset!N:N, MATCH(A16, Dataset!A:A, 0))</f>
        <v>85.4</v>
      </c>
      <c r="D16" s="12">
        <f>INDEX(Dataset!R:R, MATCH(A16, Dataset!A:A, 0))</f>
        <v>52.3</v>
      </c>
      <c r="E16" s="12">
        <f>INDEX(Dataset!T:T, MATCH(A16, Dataset!A:A, 0))</f>
        <v>106.1</v>
      </c>
      <c r="F16" s="8">
        <f>INDEX(Dataset!V:V, MATCH(A16, Dataset!A:A, 0))</f>
        <v>52.3</v>
      </c>
    </row>
    <row r="17" spans="1:6" ht="14.4" x14ac:dyDescent="0.3">
      <c r="A17" s="7" t="s">
        <v>22</v>
      </c>
      <c r="B17" s="12">
        <f>INDEX(Dataset!G:G, MATCH(A17, Dataset!A:A, 0))</f>
        <v>30.7</v>
      </c>
      <c r="C17" s="12">
        <f>INDEX(Dataset!N:N, MATCH(A17, Dataset!A:A, 0))</f>
        <v>92.1</v>
      </c>
      <c r="D17" s="12">
        <f>INDEX(Dataset!R:R, MATCH(A17, Dataset!A:A, 0))</f>
        <v>57</v>
      </c>
      <c r="E17" s="12">
        <f>INDEX(Dataset!T:T, MATCH(A17, Dataset!A:A, 0))</f>
        <v>115.1</v>
      </c>
      <c r="F17" s="8">
        <f>INDEX(Dataset!V:V, MATCH(A17, Dataset!A:A, 0))</f>
        <v>57</v>
      </c>
    </row>
    <row r="18" spans="1:6" ht="14.4" x14ac:dyDescent="0.3">
      <c r="A18" s="7" t="s">
        <v>23</v>
      </c>
      <c r="B18" s="12">
        <f>INDEX(Dataset!G:G, MATCH(A18, Dataset!A:A, 0))</f>
        <v>33.799999999999997</v>
      </c>
      <c r="C18" s="12">
        <f>INDEX(Dataset!N:N, MATCH(A18, Dataset!A:A, 0))</f>
        <v>101.3</v>
      </c>
      <c r="D18" s="12">
        <f>INDEX(Dataset!R:R, MATCH(A18, Dataset!A:A, 0))</f>
        <v>61.4</v>
      </c>
      <c r="E18" s="12">
        <f>INDEX(Dataset!T:T, MATCH(A18, Dataset!A:A, 0))</f>
        <v>124.4</v>
      </c>
      <c r="F18" s="8">
        <f>INDEX(Dataset!V:V, MATCH(A18, Dataset!A:A, 0))</f>
        <v>61.4</v>
      </c>
    </row>
    <row r="19" spans="1:6" ht="14.4" x14ac:dyDescent="0.3">
      <c r="A19" s="7" t="s">
        <v>24</v>
      </c>
      <c r="B19" s="12">
        <f>INDEX(Dataset!G:G, MATCH(A19, Dataset!A:A, 0))</f>
        <v>34.700000000000003</v>
      </c>
      <c r="C19" s="12">
        <f>INDEX(Dataset!N:N, MATCH(A19, Dataset!A:A, 0))</f>
        <v>106.1</v>
      </c>
      <c r="D19" s="12">
        <f>INDEX(Dataset!R:R, MATCH(A19, Dataset!A:A, 0))</f>
        <v>63.6</v>
      </c>
      <c r="E19" s="12">
        <f>INDEX(Dataset!T:T, MATCH(A19, Dataset!A:A, 0))</f>
        <v>128.6</v>
      </c>
      <c r="F19" s="8">
        <f>INDEX(Dataset!V:V, MATCH(A19, Dataset!A:A, 0))</f>
        <v>63.6</v>
      </c>
    </row>
    <row r="20" spans="1:6" ht="14.4" x14ac:dyDescent="0.3">
      <c r="A20" s="7" t="s">
        <v>28</v>
      </c>
      <c r="B20" s="12">
        <f>INDEX(Dataset!G:G, MATCH(A20, Dataset!A:A, 0))</f>
        <v>0</v>
      </c>
      <c r="C20" s="12">
        <f>INDEX(Dataset!N:N, MATCH(A20, Dataset!A:A, 0))</f>
        <v>0</v>
      </c>
      <c r="D20" s="12">
        <f>INDEX(Dataset!R:R, MATCH(A20, Dataset!A:A, 0))</f>
        <v>0</v>
      </c>
      <c r="E20" s="12">
        <f>INDEX(Dataset!T:T, MATCH(A20, Dataset!A:A, 0))</f>
        <v>0</v>
      </c>
      <c r="F20" s="8">
        <f>INDEX(Dataset!V:V, MATCH(A20, Dataset!A:A, 0))</f>
        <v>0</v>
      </c>
    </row>
    <row r="21" spans="1:6" ht="14.4" x14ac:dyDescent="0.3">
      <c r="A21" s="7" t="s">
        <v>57</v>
      </c>
      <c r="B21" s="12">
        <f>INDEX(Dataset!G:G, MATCH(A21, Dataset!A:A, 0))</f>
        <v>41.3</v>
      </c>
      <c r="C21" s="12">
        <f>INDEX(Dataset!N:N, MATCH(A21, Dataset!A:A, 0))</f>
        <v>124.4</v>
      </c>
      <c r="D21" s="12">
        <f>INDEX(Dataset!R:R, MATCH(A21, Dataset!A:A, 0))</f>
        <v>75</v>
      </c>
      <c r="E21" s="12">
        <f>INDEX(Dataset!T:T, MATCH(A21, Dataset!A:A, 0))</f>
        <v>151.5</v>
      </c>
      <c r="F21" s="8">
        <f>INDEX(Dataset!V:V, MATCH(A21, Dataset!A:A, 0))</f>
        <v>75</v>
      </c>
    </row>
    <row r="22" spans="1:6" ht="14.4" x14ac:dyDescent="0.3">
      <c r="A22" s="7" t="s">
        <v>58</v>
      </c>
      <c r="B22" s="12">
        <f>INDEX(Dataset!G:G, MATCH(A22, Dataset!A:A, 0))</f>
        <v>-1</v>
      </c>
      <c r="C22" s="12">
        <f>INDEX(Dataset!N:N, MATCH(A22, Dataset!A:A, 0))</f>
        <v>-1</v>
      </c>
      <c r="D22" s="12">
        <f>INDEX(Dataset!R:R, MATCH(A22, Dataset!A:A, 0))</f>
        <v>-1</v>
      </c>
      <c r="E22" s="12">
        <f>INDEX(Dataset!T:T, MATCH(A22, Dataset!A:A, 0))</f>
        <v>-1</v>
      </c>
      <c r="F22" s="8">
        <f>INDEX(Dataset!V:V, MATCH(A22, Dataset!A:A, 0))</f>
        <v>-1</v>
      </c>
    </row>
    <row r="23" spans="1:6" ht="14.4" x14ac:dyDescent="0.3">
      <c r="A23" s="7" t="s">
        <v>31</v>
      </c>
      <c r="B23" s="12">
        <f>INDEX(Dataset!G:G, MATCH(A23, Dataset!A:A, 0))</f>
        <v>45</v>
      </c>
      <c r="C23" s="12">
        <f>INDEX(Dataset!N:N, MATCH(A23, Dataset!A:A, 0))</f>
        <v>133.4</v>
      </c>
      <c r="D23" s="12">
        <f>INDEX(Dataset!R:R, MATCH(A23, Dataset!A:A, 0))</f>
        <v>79.400000000000006</v>
      </c>
      <c r="E23" s="12">
        <f>INDEX(Dataset!T:T, MATCH(A23, Dataset!A:A, 0))</f>
        <v>160.9</v>
      </c>
      <c r="F23" s="8">
        <f>INDEX(Dataset!V:V, MATCH(A23, Dataset!A:A, 0))</f>
        <v>79.400000000000006</v>
      </c>
    </row>
    <row r="24" spans="1:6" ht="14.4" x14ac:dyDescent="0.3">
      <c r="A24" s="7" t="s">
        <v>32</v>
      </c>
      <c r="B24" s="12">
        <f>INDEX(Dataset!G:G, MATCH(A24, Dataset!A:A, 0))</f>
        <v>-1</v>
      </c>
      <c r="C24" s="12">
        <f>INDEX(Dataset!N:N, MATCH(A24, Dataset!A:A, 0))</f>
        <v>-1</v>
      </c>
      <c r="D24" s="12">
        <f>INDEX(Dataset!R:R, MATCH(A24, Dataset!A:A, 0))</f>
        <v>-1</v>
      </c>
      <c r="E24" s="12">
        <f>INDEX(Dataset!T:T, MATCH(A24, Dataset!A:A, 0))</f>
        <v>-1</v>
      </c>
      <c r="F24" s="8">
        <f>INDEX(Dataset!V:V, MATCH(A24, Dataset!A:A, 0))</f>
        <v>-1</v>
      </c>
    </row>
    <row r="25" spans="1:6" ht="14.4" x14ac:dyDescent="0.3">
      <c r="A25" s="7" t="s">
        <v>34</v>
      </c>
      <c r="B25" s="12">
        <f>INDEX(Dataset!G:G, MATCH(A25, Dataset!A:A, 0))</f>
        <v>43.3</v>
      </c>
      <c r="C25" s="12">
        <f>INDEX(Dataset!N:N, MATCH(A25, Dataset!A:A, 0))</f>
        <v>128.6</v>
      </c>
      <c r="D25" s="12">
        <f>INDEX(Dataset!R:R, MATCH(A25, Dataset!A:A, 0))</f>
        <v>79.400000000000006</v>
      </c>
      <c r="E25" s="12">
        <f>INDEX(Dataset!T:T, MATCH(A25, Dataset!A:A, 0))</f>
        <v>160.9</v>
      </c>
      <c r="F25" s="8">
        <f>INDEX(Dataset!V:V, MATCH(A25, Dataset!A:A, 0))</f>
        <v>79.400000000000006</v>
      </c>
    </row>
    <row r="26" spans="1:6" ht="14.4" x14ac:dyDescent="0.3">
      <c r="A26" s="7" t="s">
        <v>37</v>
      </c>
      <c r="B26" s="12">
        <f>INDEX(Dataset!G:G, MATCH(A26, Dataset!A:A, 0))</f>
        <v>49.1</v>
      </c>
      <c r="C26" s="12">
        <f>INDEX(Dataset!N:N, MATCH(A26, Dataset!A:A, 0))</f>
        <v>146.80000000000001</v>
      </c>
      <c r="D26" s="12">
        <f>INDEX(Dataset!R:R, MATCH(A26, Dataset!A:A, 0))</f>
        <v>90.9</v>
      </c>
      <c r="E26" s="12">
        <f>INDEX(Dataset!T:T, MATCH(A26, Dataset!A:A, 0))</f>
        <v>183.5</v>
      </c>
      <c r="F26" s="8">
        <f>INDEX(Dataset!V:V, MATCH(A26, Dataset!A:A, 0))</f>
        <v>90.9</v>
      </c>
    </row>
    <row r="27" spans="1:6" ht="14.4" x14ac:dyDescent="0.3">
      <c r="A27" s="7" t="s">
        <v>39</v>
      </c>
      <c r="B27" s="12">
        <f>INDEX(Dataset!G:G, MATCH(A27, Dataset!A:A, 0))</f>
        <v>51.8</v>
      </c>
      <c r="C27" s="12">
        <f>INDEX(Dataset!N:N, MATCH(A27, Dataset!A:A, 0))</f>
        <v>156.4</v>
      </c>
      <c r="D27" s="12">
        <f>INDEX(Dataset!R:R, MATCH(A27, Dataset!A:A, 0))</f>
        <v>93.1</v>
      </c>
      <c r="E27" s="12">
        <f>INDEX(Dataset!T:T, MATCH(A27, Dataset!A:A, 0))</f>
        <v>188.1</v>
      </c>
      <c r="F27" s="8">
        <f>INDEX(Dataset!V:V, MATCH(A27, Dataset!A:A, 0))</f>
        <v>93.1</v>
      </c>
    </row>
    <row r="28" spans="1:6" ht="14.4" x14ac:dyDescent="0.3">
      <c r="A28" s="19" t="s">
        <v>82</v>
      </c>
      <c r="B28" s="31">
        <f>MIN(B6:B27)</f>
        <v>-1</v>
      </c>
      <c r="C28" s="31">
        <f t="shared" ref="C28:F28" si="0">MIN(C6:C27)</f>
        <v>-1</v>
      </c>
      <c r="D28" s="31">
        <f t="shared" si="0"/>
        <v>-1</v>
      </c>
      <c r="E28" s="31">
        <f t="shared" si="0"/>
        <v>-1</v>
      </c>
      <c r="F28" s="31">
        <f t="shared" si="0"/>
        <v>-1</v>
      </c>
    </row>
    <row r="29" spans="1:6" ht="14.4" x14ac:dyDescent="0.3">
      <c r="A29" s="19" t="s">
        <v>83</v>
      </c>
      <c r="B29" s="31">
        <f>MAX(B6:B27)</f>
        <v>51.8</v>
      </c>
      <c r="C29" s="31">
        <f t="shared" ref="C29:F29" si="1">MAX(C6:C27)</f>
        <v>156.4</v>
      </c>
      <c r="D29" s="31">
        <f t="shared" si="1"/>
        <v>93.1</v>
      </c>
      <c r="E29" s="31">
        <f t="shared" si="1"/>
        <v>188.1</v>
      </c>
      <c r="F29" s="31">
        <f t="shared" si="1"/>
        <v>93.1</v>
      </c>
    </row>
    <row r="30" spans="1:6" ht="14.4" x14ac:dyDescent="0.3">
      <c r="A30" s="19" t="s">
        <v>84</v>
      </c>
      <c r="B30" s="31">
        <f>AVERAGE(B6:B27)</f>
        <v>20.827272727272728</v>
      </c>
      <c r="C30" s="31">
        <f t="shared" ref="C30:F30" si="2">AVERAGE(C6:C27)</f>
        <v>62.377272727272725</v>
      </c>
      <c r="D30" s="31">
        <f t="shared" si="2"/>
        <v>37.800000000000004</v>
      </c>
      <c r="E30" s="31">
        <f t="shared" si="2"/>
        <v>76.418181818181822</v>
      </c>
      <c r="F30" s="31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H6" sqref="H6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1" customFormat="1" ht="21" x14ac:dyDescent="0.4">
      <c r="A1" s="42" t="s">
        <v>56</v>
      </c>
      <c r="B1" s="41" t="s">
        <v>173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150</v>
      </c>
    </row>
    <row r="5" spans="1:10" ht="18" x14ac:dyDescent="0.35">
      <c r="A5" s="43" t="s">
        <v>53</v>
      </c>
      <c r="B5" s="40" t="s">
        <v>179</v>
      </c>
    </row>
    <row r="6" spans="1:10" ht="74.400000000000006" customHeight="1" x14ac:dyDescent="0.35">
      <c r="A6" s="43" t="s">
        <v>152</v>
      </c>
      <c r="B6" s="46" t="s">
        <v>178</v>
      </c>
      <c r="C6" s="46"/>
      <c r="D6" s="46"/>
      <c r="E6" s="46"/>
      <c r="F6" s="46"/>
      <c r="G6" s="46"/>
    </row>
    <row r="7" spans="1:10" ht="18" x14ac:dyDescent="0.35">
      <c r="A7" s="43"/>
      <c r="B7" s="40"/>
    </row>
    <row r="9" spans="1:10" ht="23.4" x14ac:dyDescent="0.45">
      <c r="A9" s="18" t="s">
        <v>164</v>
      </c>
      <c r="I9" s="2"/>
      <c r="J9" s="2"/>
    </row>
    <row r="10" spans="1:10" x14ac:dyDescent="0.3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">
      <c r="A11" s="9" t="s">
        <v>120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 x14ac:dyDescent="0.45">
      <c r="A14" s="18" t="s">
        <v>161</v>
      </c>
    </row>
    <row r="15" spans="1:10" x14ac:dyDescent="0.3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">
      <c r="A16" s="7" t="s">
        <v>120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3">
      <c r="A17" s="7" t="s">
        <v>121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3">
      <c r="A18" s="7" t="s">
        <v>122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3">
      <c r="A19" s="7" t="s">
        <v>123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3">
      <c r="A20" s="7" t="s">
        <v>124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3">
      <c r="A21" s="7" t="s">
        <v>125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3">
      <c r="A22" s="7" t="s">
        <v>126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3">
      <c r="A23" s="7" t="s">
        <v>127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3">
      <c r="A24" s="7" t="s">
        <v>128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3">
      <c r="A25" s="7" t="s">
        <v>129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3">
      <c r="A26" s="7" t="s">
        <v>130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3">
      <c r="A27" s="7" t="s">
        <v>131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3">
      <c r="A28" s="7" t="s">
        <v>132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3">
      <c r="A29" s="7" t="s">
        <v>133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3">
      <c r="A30" s="7" t="s">
        <v>134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3">
      <c r="A31" s="7" t="s">
        <v>135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3">
      <c r="A32" s="7" t="s">
        <v>136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3">
      <c r="A33" s="7" t="s">
        <v>137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3">
      <c r="A34" s="7" t="s">
        <v>138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3">
      <c r="A35" s="7" t="s">
        <v>139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3">
      <c r="A36" s="7" t="s">
        <v>140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3">
      <c r="A37" s="7" t="s">
        <v>141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3">
      <c r="A38" s="7" t="s">
        <v>142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3">
      <c r="A39" s="7" t="s">
        <v>143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3">
      <c r="A40" s="7" t="s">
        <v>144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3">
      <c r="A41" s="7" t="s">
        <v>145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3">
      <c r="A42" s="7" t="s">
        <v>146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3">
      <c r="A43" s="7" t="s">
        <v>147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3">
      <c r="A44" s="7" t="s">
        <v>148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3">
      <c r="A45" s="7" t="s">
        <v>149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3">
      <c r="A46" s="7" t="s">
        <v>111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3">
      <c r="A47" s="7" t="s">
        <v>112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3">
      <c r="A48" s="7" t="s">
        <v>113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3">
      <c r="A49" s="7" t="s">
        <v>114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3">
      <c r="A50" s="7" t="s">
        <v>115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3">
      <c r="A51" s="7" t="s">
        <v>116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3">
      <c r="A52" s="7" t="s">
        <v>117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3">
      <c r="A53" s="7" t="s">
        <v>118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3">
      <c r="A54" s="9" t="s">
        <v>119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mergeCells count="1">
    <mergeCell ref="B6:G6"/>
  </mergeCells>
  <phoneticPr fontId="10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B6" sqref="B6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2" t="s">
        <v>85</v>
      </c>
      <c r="B1" s="41" t="s">
        <v>166</v>
      </c>
    </row>
    <row r="2" spans="1:3" ht="18" x14ac:dyDescent="0.35">
      <c r="B2" s="40" t="s">
        <v>165</v>
      </c>
    </row>
    <row r="5" spans="1:3" ht="14.4" x14ac:dyDescent="0.3">
      <c r="B5" s="1" t="s">
        <v>150</v>
      </c>
    </row>
    <row r="6" spans="1:3" ht="14.4" x14ac:dyDescent="0.3">
      <c r="A6" s="3" t="s">
        <v>53</v>
      </c>
      <c r="B6" s="1">
        <f t="array" ref="B6">SUM(IFERROR(C12:C21, 20))</f>
        <v>600</v>
      </c>
    </row>
    <row r="7" spans="1:3" ht="14.4" x14ac:dyDescent="0.3">
      <c r="A7" s="3" t="s">
        <v>152</v>
      </c>
      <c r="B7" s="1" t="s">
        <v>180</v>
      </c>
    </row>
    <row r="10" spans="1:3" ht="23.4" x14ac:dyDescent="0.45">
      <c r="A10" s="18" t="s">
        <v>161</v>
      </c>
    </row>
    <row r="11" spans="1:3" ht="14.4" x14ac:dyDescent="0.3">
      <c r="A11" s="32" t="s">
        <v>86</v>
      </c>
      <c r="B11" s="17" t="s">
        <v>87</v>
      </c>
      <c r="C11" s="17" t="s">
        <v>88</v>
      </c>
    </row>
    <row r="12" spans="1:3" ht="14.4" x14ac:dyDescent="0.3">
      <c r="A12" s="32">
        <v>44927</v>
      </c>
      <c r="B12" s="17" t="s">
        <v>59</v>
      </c>
      <c r="C12" s="17">
        <v>200</v>
      </c>
    </row>
    <row r="13" spans="1:3" ht="14.4" x14ac:dyDescent="0.3">
      <c r="A13" s="32">
        <v>44928</v>
      </c>
      <c r="B13" s="17" t="s">
        <v>60</v>
      </c>
      <c r="C13" s="17" t="e">
        <v>#N/A</v>
      </c>
    </row>
    <row r="14" spans="1:3" ht="14.4" x14ac:dyDescent="0.3">
      <c r="A14" s="32">
        <v>44929</v>
      </c>
      <c r="B14" s="17" t="s">
        <v>61</v>
      </c>
      <c r="C14" s="17">
        <v>50</v>
      </c>
    </row>
    <row r="15" spans="1:3" ht="14.4" x14ac:dyDescent="0.3">
      <c r="A15" s="32">
        <v>44930</v>
      </c>
      <c r="B15" s="17" t="s">
        <v>62</v>
      </c>
      <c r="C15" s="17" t="e">
        <v>#N/A</v>
      </c>
    </row>
    <row r="16" spans="1:3" ht="14.4" x14ac:dyDescent="0.3">
      <c r="A16" s="32">
        <v>44931</v>
      </c>
      <c r="B16" s="17" t="s">
        <v>63</v>
      </c>
      <c r="C16" s="17">
        <v>10</v>
      </c>
    </row>
    <row r="17" spans="1:3" ht="14.4" x14ac:dyDescent="0.3">
      <c r="A17" s="32">
        <v>44932</v>
      </c>
      <c r="B17" s="17" t="s">
        <v>153</v>
      </c>
      <c r="C17" s="17">
        <v>150</v>
      </c>
    </row>
    <row r="18" spans="1:3" ht="14.4" x14ac:dyDescent="0.3">
      <c r="A18" s="32">
        <v>44933</v>
      </c>
      <c r="B18" s="17" t="s">
        <v>154</v>
      </c>
      <c r="C18" s="17">
        <v>80</v>
      </c>
    </row>
    <row r="19" spans="1:3" ht="14.4" x14ac:dyDescent="0.3">
      <c r="A19" s="32">
        <v>44934</v>
      </c>
      <c r="B19" s="17" t="s">
        <v>155</v>
      </c>
      <c r="C19" s="17" t="e">
        <v>#N/A</v>
      </c>
    </row>
    <row r="20" spans="1:3" ht="14.4" x14ac:dyDescent="0.3">
      <c r="A20" s="32">
        <v>44935</v>
      </c>
      <c r="B20" s="17" t="s">
        <v>156</v>
      </c>
      <c r="C20" s="17">
        <v>30</v>
      </c>
    </row>
    <row r="21" spans="1:3" ht="14.4" x14ac:dyDescent="0.3">
      <c r="A21" s="32">
        <v>44936</v>
      </c>
      <c r="B21" s="17" t="s">
        <v>157</v>
      </c>
      <c r="C21" s="17" t="e">
        <v>#N/A</v>
      </c>
    </row>
    <row r="22" spans="1:3" ht="14.4" x14ac:dyDescent="0.3">
      <c r="B22" s="17" t="s">
        <v>158</v>
      </c>
      <c r="C22" s="25">
        <f t="array" ref="C22">SUM(IFERROR(C12:C21, 20))</f>
        <v>600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topLeftCell="A7" zoomScaleNormal="100" workbookViewId="0">
      <selection activeCell="G21" sqref="G21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2" t="s">
        <v>98</v>
      </c>
      <c r="B1" s="41" t="s">
        <v>174</v>
      </c>
    </row>
    <row r="3" spans="1:14" ht="14.4" x14ac:dyDescent="0.3">
      <c r="B3" s="1" t="s">
        <v>150</v>
      </c>
    </row>
    <row r="4" spans="1:14" ht="18" x14ac:dyDescent="0.35">
      <c r="A4" s="43" t="s">
        <v>53</v>
      </c>
      <c r="B4" s="1"/>
      <c r="C4" s="2" t="s">
        <v>181</v>
      </c>
    </row>
    <row r="5" spans="1:14" ht="18" x14ac:dyDescent="0.35">
      <c r="A5" s="43" t="s">
        <v>152</v>
      </c>
      <c r="B5" s="1"/>
      <c r="C5" s="2" t="s">
        <v>182</v>
      </c>
    </row>
    <row r="6" spans="1:14" ht="14.4" x14ac:dyDescent="0.3">
      <c r="A6" s="3"/>
      <c r="B6" s="1"/>
    </row>
    <row r="8" spans="1:14" ht="23.4" x14ac:dyDescent="0.45">
      <c r="A8" s="18" t="s">
        <v>161</v>
      </c>
      <c r="M8" s="18" t="s">
        <v>162</v>
      </c>
    </row>
    <row r="9" spans="1:14" ht="14.4" x14ac:dyDescent="0.3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4" x14ac:dyDescent="0.3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4" x14ac:dyDescent="0.3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4" x14ac:dyDescent="0.3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4" x14ac:dyDescent="0.3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4" x14ac:dyDescent="0.3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4" x14ac:dyDescent="0.3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4" x14ac:dyDescent="0.3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4" x14ac:dyDescent="0.3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4" x14ac:dyDescent="0.3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4" x14ac:dyDescent="0.45">
      <c r="A21" s="18" t="s">
        <v>167</v>
      </c>
    </row>
    <row r="22" spans="1:14" ht="14.4" x14ac:dyDescent="0.3">
      <c r="A22" s="14" t="s">
        <v>100</v>
      </c>
      <c r="B22" s="17" t="s">
        <v>101</v>
      </c>
      <c r="C22" s="16" t="s">
        <v>102</v>
      </c>
    </row>
    <row r="23" spans="1:14" ht="14.4" x14ac:dyDescent="0.3">
      <c r="A23" s="7">
        <v>10100</v>
      </c>
      <c r="B23" s="12">
        <v>10102</v>
      </c>
      <c r="C23" s="47">
        <f>VLOOKUP(VLOOKUP(A23, $M$10:$N$18, 2, FALSE), $A$9:$J$18, MATCH(VLOOKUP(B23, $M$10:$N$18, 2, FALSE), $A$9:$J$9, 0), FALSE)</f>
        <v>95</v>
      </c>
    </row>
    <row r="24" spans="1:14" ht="14.4" x14ac:dyDescent="0.3">
      <c r="A24" s="7">
        <v>10100</v>
      </c>
      <c r="B24" s="12">
        <v>10104</v>
      </c>
      <c r="C24" s="47">
        <f t="shared" ref="C24:C35" si="0">VLOOKUP(VLOOKUP(A24, $M$10:$N$18, 2, FALSE), $A$9:$J$18, MATCH(VLOOKUP(B24, $M$10:$N$18, 2, FALSE), $A$9:$J$9, 0), FALSE)</f>
        <v>-1</v>
      </c>
    </row>
    <row r="25" spans="1:14" ht="14.4" x14ac:dyDescent="0.3">
      <c r="A25" s="7">
        <v>10108</v>
      </c>
      <c r="B25" s="12">
        <v>10102</v>
      </c>
      <c r="C25" s="47">
        <f t="shared" si="0"/>
        <v>160</v>
      </c>
    </row>
    <row r="26" spans="1:14" ht="14.4" x14ac:dyDescent="0.3">
      <c r="A26" s="7">
        <v>10100</v>
      </c>
      <c r="B26" s="12">
        <v>10106</v>
      </c>
      <c r="C26" s="47">
        <f t="shared" si="0"/>
        <v>185</v>
      </c>
    </row>
    <row r="27" spans="1:14" ht="14.4" x14ac:dyDescent="0.3">
      <c r="A27" s="7">
        <v>10108</v>
      </c>
      <c r="B27" s="12">
        <v>10110</v>
      </c>
      <c r="C27" s="47">
        <f t="shared" si="0"/>
        <v>50</v>
      </c>
    </row>
    <row r="28" spans="1:14" ht="14.4" x14ac:dyDescent="0.3">
      <c r="A28" s="7">
        <v>10102</v>
      </c>
      <c r="B28" s="12">
        <v>10104</v>
      </c>
      <c r="C28" s="47">
        <f t="shared" si="0"/>
        <v>-1</v>
      </c>
    </row>
    <row r="29" spans="1:14" ht="14.4" x14ac:dyDescent="0.3">
      <c r="A29" s="7">
        <v>10106</v>
      </c>
      <c r="B29" s="12">
        <v>10108</v>
      </c>
      <c r="C29" s="47">
        <f t="shared" si="0"/>
        <v>70</v>
      </c>
    </row>
    <row r="30" spans="1:14" ht="14.4" x14ac:dyDescent="0.3">
      <c r="A30" s="7">
        <v>10102</v>
      </c>
      <c r="B30" s="12">
        <v>10106</v>
      </c>
      <c r="C30" s="47">
        <f t="shared" si="0"/>
        <v>90</v>
      </c>
    </row>
    <row r="31" spans="1:14" ht="14.4" x14ac:dyDescent="0.3">
      <c r="A31" s="7">
        <v>10110</v>
      </c>
      <c r="B31" s="12">
        <v>10114</v>
      </c>
      <c r="C31" s="47">
        <f t="shared" si="0"/>
        <v>180</v>
      </c>
    </row>
    <row r="32" spans="1:14" ht="14.4" x14ac:dyDescent="0.3">
      <c r="A32" s="7">
        <v>10104</v>
      </c>
      <c r="B32" s="12">
        <v>10106</v>
      </c>
      <c r="C32" s="47">
        <f t="shared" si="0"/>
        <v>60</v>
      </c>
    </row>
    <row r="33" spans="1:3" ht="14.4" x14ac:dyDescent="0.3">
      <c r="A33" s="7">
        <v>10110</v>
      </c>
      <c r="B33" s="12">
        <v>10112</v>
      </c>
      <c r="C33" s="47">
        <f t="shared" si="0"/>
        <v>115</v>
      </c>
    </row>
    <row r="34" spans="1:3" ht="14.4" x14ac:dyDescent="0.3">
      <c r="A34" s="7">
        <v>10100</v>
      </c>
      <c r="B34" s="12">
        <v>10114</v>
      </c>
      <c r="C34" s="47">
        <f t="shared" si="0"/>
        <v>480</v>
      </c>
    </row>
    <row r="35" spans="1:3" ht="14.4" x14ac:dyDescent="0.3">
      <c r="A35" s="9">
        <v>10112</v>
      </c>
      <c r="B35" s="13">
        <v>10116</v>
      </c>
      <c r="C35" s="47">
        <f t="shared" si="0"/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Satyajit Pradhan</cp:lastModifiedBy>
  <dcterms:created xsi:type="dcterms:W3CDTF">2015-02-10T17:33:11Z</dcterms:created>
  <dcterms:modified xsi:type="dcterms:W3CDTF">2024-10-24T13:03:20Z</dcterms:modified>
</cp:coreProperties>
</file>