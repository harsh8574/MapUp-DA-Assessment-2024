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bookViews>
    <workbookView xWindow="0" yWindow="0" windowWidth="15345" windowHeight="4635" tabRatio="849" activeTab="2"/>
  </bookViews>
  <sheets>
    <sheet name="Instructions" sheetId="22" r:id="rId1"/>
    <sheet name="Dataset" sheetId="1" r:id="rId2"/>
    <sheet name="Task_1" sheetId="15" r:id="rId3"/>
    <sheet name="task 1 answer" sheetId="24" r:id="rId4"/>
    <sheet name="Task_2" sheetId="18" r:id="rId5"/>
    <sheet name="Task_3" sheetId="16" r:id="rId6"/>
    <sheet name="Task_4" sheetId="19" r:id="rId7"/>
    <sheet name="Task_5" sheetId="20" r:id="rId8"/>
  </sheets>
  <functionGroups builtInGroupCount="18"/>
  <definedNames>
    <definedName name="_xlnm._FilterDatabase" localSheetId="1" hidden="1">Dataset!$A$1:$W$40</definedName>
    <definedName name="_xlnm._FilterDatabase" localSheetId="3" hidden="1">'task 1 answer'!$A$1:$W$40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 a="1"/>
  <c r="C22" i="19" s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  <c r="F30" i="18" l="1"/>
  <c r="F29" i="18"/>
  <c r="F28" i="18"/>
  <c r="E30" i="18"/>
  <c r="E29" i="18"/>
  <c r="E28" i="18"/>
  <c r="D30" i="18"/>
  <c r="D29" i="18"/>
  <c r="D28" i="18"/>
  <c r="C30" i="18"/>
  <c r="C29" i="18"/>
  <c r="C28" i="18"/>
  <c r="B30" i="18"/>
  <c r="B29" i="18"/>
  <c r="B28" i="18"/>
  <c r="H41" i="24"/>
</calcChain>
</file>

<file path=xl/sharedStrings.xml><?xml version="1.0" encoding="utf-8"?>
<sst xmlns="http://schemas.openxmlformats.org/spreadsheetml/2006/main" count="548" uniqueCount="185">
  <si>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</si>
  <si>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</si>
  <si>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</si>
  <si>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</si>
  <si>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</si>
  <si>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</si>
  <si>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</si>
  <si>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</si>
  <si>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</si>
  <si>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</si>
  <si>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</si>
  <si>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</si>
  <si>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</si>
  <si>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</si>
  <si>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</si>
  <si>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</si>
  <si>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</si>
  <si>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</si>
  <si>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</si>
  <si>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</si>
  <si>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</si>
  <si>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</si>
  <si>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</si>
  <si>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</si>
  <si>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</si>
  <si>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</si>
  <si>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</si>
  <si>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</si>
  <si>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</si>
  <si>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</si>
  <si>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</si>
  <si>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</si>
  <si>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</si>
  <si>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</si>
  <si>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</si>
  <si>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</si>
  <si>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</si>
  <si>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</si>
  <si>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</si>
  <si>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</si>
  <si>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</si>
  <si>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</si>
  <si>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</si>
  <si>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</si>
  <si>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</si>
  <si>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</si>
  <si>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</si>
  <si>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</si>
  <si>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</si>
  <si>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</si>
  <si>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</si>
  <si>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</si>
  <si>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</si>
  <si>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</si>
  <si>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</si>
  <si>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</si>
  <si>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</si>
  <si>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</si>
  <si>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</si>
  <si>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</si>
  <si>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</si>
  <si>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</si>
  <si>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</si>
  <si>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</si>
  <si>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</si>
  <si>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</si>
  <si>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</si>
  <si>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</si>
  <si>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</si>
  <si>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</si>
  <si>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</si>
  <si>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</si>
  <si>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</si>
  <si>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</si>
  <si>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</si>
  <si>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</si>
  <si>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</si>
  <si>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</si>
  <si>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</si>
  <si>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</si>
  <si>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</si>
  <si>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</si>
  <si>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</si>
  <si>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</si>
  <si>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</si>
  <si>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</si>
  <si>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</si>
  <si>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</si>
  <si>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</si>
  <si>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</si>
  <si>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</si>
  <si>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</si>
  <si>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</si>
  <si>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</si>
  <si>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</si>
  <si>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</si>
  <si>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</si>
  <si>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</si>
  <si>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</si>
  <si>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</si>
  <si>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</si>
  <si>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</si>
  <si>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</si>
  <si>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</si>
  <si>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</si>
  <si>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</si>
  <si>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</si>
  <si>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</si>
  <si>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</si>
  <si>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</si>
  <si>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</si>
  <si>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</si>
  <si>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</si>
  <si>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</si>
  <si>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</si>
  <si>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</si>
  <si>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</si>
  <si>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</si>
  <si>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</si>
  <si>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</si>
  <si>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</si>
  <si>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</si>
  <si>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</si>
  <si>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</si>
  <si>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</si>
  <si>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</si>
  <si>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</si>
  <si>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</si>
  <si>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</si>
  <si>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</si>
  <si>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</si>
  <si>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</si>
  <si>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</si>
  <si>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</si>
  <si>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</si>
  <si>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</si>
  <si>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</si>
  <si>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</si>
  <si>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</si>
  <si>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</si>
  <si>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</si>
  <si>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</si>
  <si>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</si>
  <si>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</si>
  <si>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</si>
  <si>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</si>
  <si>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</si>
  <si>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</si>
  <si>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</si>
  <si>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</si>
  <si>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</si>
  <si>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</si>
  <si>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</si>
  <si>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</si>
  <si>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</si>
  <si>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</si>
  <si>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</si>
  <si>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</si>
  <si>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</si>
  <si>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</si>
  <si>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</si>
  <si>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</si>
  <si>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</si>
  <si>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</si>
  <si>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</si>
  <si>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</si>
  <si>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</si>
  <si>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</si>
  <si>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</si>
  <si>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</si>
  <si>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</si>
  <si>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</si>
  <si>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</si>
  <si>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</si>
  <si>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</si>
  <si>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</si>
  <si>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</si>
  <si>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 fomula =SUMIF(H:H, "&gt;20")</t>
  </si>
  <si>
    <t>col_2</t>
  </si>
  <si>
    <t>I used text to column feature and left,right and mid functions for splitting.ex - to extract 1st 5 character (=left(a1,5) , to extract from 6th chracter to nextv 5 character(=mid(a1,6,5) and for last 5 character (=right(a1,5)</t>
  </si>
  <si>
    <t>(=left(a1,5)),(=mid(a1,6,5)),(=right(a1,5))</t>
  </si>
  <si>
    <t>FORMULA=SUM(IFERROR(C12:C21,20))</t>
  </si>
  <si>
    <t>formula=INDEX($B$10:$J$18, MATCH(VLOOKUP(A23, $M$10:$N$18, 2, FALSE), $A$10:$A$18, 0), MATCH(VLOOKUP(B23, $M$10:$N$18, 2, FALSE), $B$9:$J$9, 0)</t>
  </si>
  <si>
    <t>This formula retrieves a value from the range $B$10:$J$18 by using two MATCH functions to find the row and column. The VLOOKUP functions look up values in columns A23 and B23 using the range $M$10:$N$18, helping the MATCH functions locate the correct position for the row and column within the data range.</t>
  </si>
  <si>
    <t>This formula sums the values in the range C12:C21, and if any cell contains an error, it replaces the error with 20 before summing. The IFERROR function handles errors by providing the value 20 where an error occurs.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</si>
</sst>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hh:mm:ss;@"/>
    <numFmt numFmtId="165" formatCode="yyyy\-mm\-dd;@"/>
    <numFmt numFmtId="166" formatCode="dd/mm/yyyy"/>
    <numFmt numFmtId="167" formatCode="yyyy\-mm\-dd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000000"/>
      <name val="Arial Unicode MS"/>
      <family val="2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66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7" fontId="7" fillId="0" borderId="0" xfId="0" applyNumberFormat="1" applyFont="1"/>
    <xf numFmtId="167" fontId="3" fillId="0" borderId="0" xfId="0" applyNumberFormat="1" applyFont="1"/>
    <xf numFmtId="0" fontId="18" fillId="0" borderId="0" xfId="0" applyFont="1" applyAlignment="1">
      <alignment vertical="center"/>
    </xf>
    <xf numFmtId="0" fontId="15" fillId="0" borderId="0" xfId="0" quotePrefix="1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8">
    <dxf>
      <font>
        <color rgb="FF00B05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40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176</v>
      </c>
      <c r="C4" s="1"/>
    </row>
    <row r="5" spans="1:3" x14ac:dyDescent="0.2">
      <c r="A5" s="2" t="s">
        <v>151</v>
      </c>
    </row>
    <row r="8" spans="1:3" x14ac:dyDescent="0.2">
      <c r="A8" s="2" t="s">
        <v>172</v>
      </c>
    </row>
    <row r="9" spans="1:3" x14ac:dyDescent="0.2">
      <c r="A9" s="37" t="s">
        <v>170</v>
      </c>
      <c r="B9" s="26" t="s">
        <v>168</v>
      </c>
    </row>
    <row r="10" spans="1:3" x14ac:dyDescent="0.2">
      <c r="A10" s="36" t="s">
        <v>171</v>
      </c>
      <c r="B10" s="38">
        <v>25</v>
      </c>
    </row>
    <row r="11" spans="1:3" x14ac:dyDescent="0.2">
      <c r="A11" s="36" t="s">
        <v>55</v>
      </c>
      <c r="B11" s="38">
        <v>30</v>
      </c>
    </row>
    <row r="12" spans="1:3" x14ac:dyDescent="0.2">
      <c r="A12" s="36" t="s">
        <v>56</v>
      </c>
      <c r="B12" s="38">
        <v>10</v>
      </c>
    </row>
    <row r="13" spans="1:3" x14ac:dyDescent="0.2">
      <c r="A13" s="36" t="s">
        <v>85</v>
      </c>
      <c r="B13" s="38">
        <v>20</v>
      </c>
    </row>
    <row r="14" spans="1:3" x14ac:dyDescent="0.2">
      <c r="A14" s="36" t="s">
        <v>98</v>
      </c>
      <c r="B14" s="38">
        <v>40</v>
      </c>
    </row>
    <row r="15" spans="1:3" x14ac:dyDescent="0.2">
      <c r="A15" s="39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0"/>
  <sheetViews>
    <sheetView topLeftCell="A24" zoomScaleNormal="100" workbookViewId="0">
      <selection activeCell="U14" sqref="U14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</row>
  </sheetData>
  <conditionalFormatting sqref="A1:A1048576">
    <cfRule type="duplicateValues" dxfId="5" priority="2"/>
  </conditionalFormatting>
  <conditionalFormatting sqref="B1:B1048576">
    <cfRule type="duplicateValues" dxfId="4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tabSelected="1" zoomScaleNormal="100" workbookViewId="0">
      <selection activeCell="B6" sqref="B6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31.83203125" style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25">
      <c r="A2" s="2"/>
      <c r="B2" s="5" t="s">
        <v>159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5" t="s">
        <v>177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1"/>
  <sheetViews>
    <sheetView zoomScaleNormal="100" workbookViewId="0">
      <pane ySplit="1" topLeftCell="A2" activePane="bottomLeft" state="frozen"/>
      <selection activeCell="O1" sqref="O1"/>
      <selection pane="bottomLeft" activeCell="Z38" sqref="Z38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6" bestFit="1" customWidth="1"/>
    <col min="25" max="16384" width="9" style="1"/>
  </cols>
  <sheetData>
    <row r="1" spans="1:24" s="3" customFormat="1" ht="14.85" customHeight="1" x14ac:dyDescent="0.25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45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25">
      <c r="H41" s="1">
        <f ca="1">SUMIF(H:H, "&gt;20")</f>
        <v>0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1048576">
    <cfRule type="cellIs" dxfId="1" priority="2" operator="equal">
      <formula>-1</formula>
    </cfRule>
  </conditionalFormatting>
  <conditionalFormatting sqref="Z10 A1:X1048576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5" zoomScaleNormal="100" workbookViewId="0">
      <selection activeCell="B28" sqref="B28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2" customFormat="1" ht="21" x14ac:dyDescent="0.35">
      <c r="A1" s="43" t="s">
        <v>55</v>
      </c>
      <c r="B1" s="42" t="s">
        <v>163</v>
      </c>
    </row>
    <row r="2" spans="1:7" s="42" customFormat="1" ht="21" x14ac:dyDescent="0.35">
      <c r="B2" s="42" t="s">
        <v>160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161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v>2.7</v>
      </c>
      <c r="C6" s="12">
        <v>7.6</v>
      </c>
      <c r="D6" s="12">
        <v>4.2</v>
      </c>
      <c r="E6" s="12">
        <v>8.9</v>
      </c>
      <c r="F6" s="8">
        <v>4.2</v>
      </c>
    </row>
    <row r="7" spans="1:7" ht="15" x14ac:dyDescent="0.25">
      <c r="A7" s="7" t="s">
        <v>4</v>
      </c>
      <c r="B7" s="12">
        <v>2.7</v>
      </c>
      <c r="C7" s="12">
        <v>7.6</v>
      </c>
      <c r="D7" s="12">
        <v>4.2</v>
      </c>
      <c r="E7" s="12">
        <v>8.9</v>
      </c>
      <c r="F7" s="8">
        <v>4.2</v>
      </c>
    </row>
    <row r="8" spans="1:7" ht="15" x14ac:dyDescent="0.25">
      <c r="A8" s="7" t="s">
        <v>7</v>
      </c>
      <c r="B8" s="12">
        <v>3.6</v>
      </c>
      <c r="C8" s="12">
        <v>11.1</v>
      </c>
      <c r="D8" s="12">
        <v>5.8</v>
      </c>
      <c r="E8" s="12">
        <v>12.2</v>
      </c>
      <c r="F8" s="8">
        <v>5.8</v>
      </c>
    </row>
    <row r="9" spans="1:7" ht="15" x14ac:dyDescent="0.25">
      <c r="A9" s="7" t="s">
        <v>8</v>
      </c>
      <c r="B9" s="12">
        <v>4.9000000000000004</v>
      </c>
      <c r="C9" s="12">
        <v>13.3</v>
      </c>
      <c r="D9" s="12">
        <v>8.1</v>
      </c>
      <c r="E9" s="12">
        <v>17</v>
      </c>
      <c r="F9" s="8">
        <v>8.1</v>
      </c>
    </row>
    <row r="10" spans="1:7" ht="15" x14ac:dyDescent="0.25">
      <c r="A10" s="7" t="s">
        <v>11</v>
      </c>
      <c r="B10" s="12">
        <v>9.4</v>
      </c>
      <c r="C10" s="12">
        <v>28.3</v>
      </c>
      <c r="D10" s="12">
        <v>16.100000000000001</v>
      </c>
      <c r="E10" s="12">
        <v>32.799999999999997</v>
      </c>
      <c r="F10" s="8">
        <v>16.100000000000001</v>
      </c>
    </row>
    <row r="11" spans="1:7" ht="15" x14ac:dyDescent="0.25">
      <c r="A11" s="7" t="s">
        <v>12</v>
      </c>
      <c r="B11" s="12">
        <v>11.6</v>
      </c>
      <c r="C11" s="12">
        <v>35.200000000000003</v>
      </c>
      <c r="D11" s="12">
        <v>21.3</v>
      </c>
      <c r="E11" s="12">
        <v>43</v>
      </c>
      <c r="F11" s="8">
        <v>21.3</v>
      </c>
    </row>
    <row r="12" spans="1:7" ht="15" x14ac:dyDescent="0.25">
      <c r="A12" s="7" t="s">
        <v>14</v>
      </c>
      <c r="B12" s="12">
        <v>18.399999999999999</v>
      </c>
      <c r="C12" s="12">
        <v>55.6</v>
      </c>
      <c r="D12" s="12">
        <v>33.799999999999997</v>
      </c>
      <c r="E12" s="12">
        <v>67.900000000000006</v>
      </c>
      <c r="F12" s="8">
        <v>33.799999999999997</v>
      </c>
    </row>
    <row r="13" spans="1:7" ht="15" x14ac:dyDescent="0.25">
      <c r="A13" s="7" t="s">
        <v>15</v>
      </c>
      <c r="B13" s="12">
        <v>0</v>
      </c>
      <c r="C13" s="12">
        <v>0</v>
      </c>
      <c r="D13" s="12">
        <v>0</v>
      </c>
      <c r="E13" s="12">
        <v>0</v>
      </c>
      <c r="F13" s="8">
        <v>0</v>
      </c>
    </row>
    <row r="14" spans="1:7" ht="15" x14ac:dyDescent="0.25">
      <c r="A14" s="7" t="s">
        <v>16</v>
      </c>
      <c r="B14" s="12">
        <v>21.9</v>
      </c>
      <c r="C14" s="12">
        <v>61.5</v>
      </c>
      <c r="D14" s="12">
        <v>40.1</v>
      </c>
      <c r="E14" s="12">
        <v>76.599999999999994</v>
      </c>
      <c r="F14" s="8">
        <v>40.1</v>
      </c>
    </row>
    <row r="15" spans="1:7" ht="15" x14ac:dyDescent="0.25">
      <c r="A15" s="7" t="s">
        <v>18</v>
      </c>
      <c r="B15" s="12">
        <v>26.8</v>
      </c>
      <c r="C15" s="12">
        <v>79.599999999999994</v>
      </c>
      <c r="D15" s="12">
        <v>47.9</v>
      </c>
      <c r="E15" s="12">
        <v>96.8</v>
      </c>
      <c r="F15" s="8">
        <v>47.9</v>
      </c>
    </row>
    <row r="16" spans="1:7" ht="15" x14ac:dyDescent="0.25">
      <c r="A16" s="7" t="s">
        <v>20</v>
      </c>
      <c r="B16" s="12">
        <v>28.5</v>
      </c>
      <c r="C16" s="12">
        <v>85.4</v>
      </c>
      <c r="D16" s="12">
        <v>52.3</v>
      </c>
      <c r="E16" s="12">
        <v>106.1</v>
      </c>
      <c r="F16" s="8">
        <v>52.3</v>
      </c>
    </row>
    <row r="17" spans="1:6" ht="15" x14ac:dyDescent="0.25">
      <c r="A17" s="7" t="s">
        <v>22</v>
      </c>
      <c r="B17" s="12">
        <v>30.7</v>
      </c>
      <c r="C17" s="12">
        <v>92.1</v>
      </c>
      <c r="D17" s="12">
        <v>57</v>
      </c>
      <c r="E17" s="12">
        <v>115.1</v>
      </c>
      <c r="F17" s="8">
        <v>57</v>
      </c>
    </row>
    <row r="18" spans="1:6" ht="15" x14ac:dyDescent="0.25">
      <c r="A18" s="7" t="s">
        <v>23</v>
      </c>
      <c r="B18" s="12">
        <v>33.799999999999997</v>
      </c>
      <c r="C18" s="12">
        <v>101.3</v>
      </c>
      <c r="D18" s="12">
        <v>61.4</v>
      </c>
      <c r="E18" s="12">
        <v>124.4</v>
      </c>
      <c r="F18" s="8">
        <v>61.4</v>
      </c>
    </row>
    <row r="19" spans="1:6" ht="15" x14ac:dyDescent="0.25">
      <c r="A19" s="7" t="s">
        <v>24</v>
      </c>
      <c r="B19" s="12">
        <v>34.700000000000003</v>
      </c>
      <c r="C19" s="12">
        <v>106.1</v>
      </c>
      <c r="D19" s="12">
        <v>63.6</v>
      </c>
      <c r="E19" s="12">
        <v>128.6</v>
      </c>
      <c r="F19" s="8">
        <v>63.6</v>
      </c>
    </row>
    <row r="20" spans="1:6" ht="15" x14ac:dyDescent="0.25">
      <c r="A20" s="7" t="s">
        <v>28</v>
      </c>
      <c r="B20" s="12">
        <v>0</v>
      </c>
      <c r="C20" s="12">
        <v>0</v>
      </c>
      <c r="D20" s="12">
        <v>0</v>
      </c>
      <c r="E20" s="12">
        <v>0</v>
      </c>
      <c r="F20" s="8">
        <v>0</v>
      </c>
    </row>
    <row r="21" spans="1:6" ht="15" x14ac:dyDescent="0.25">
      <c r="A21" s="7" t="s">
        <v>57</v>
      </c>
      <c r="B21" s="12">
        <v>41.3</v>
      </c>
      <c r="C21" s="12">
        <v>124.4</v>
      </c>
      <c r="D21" s="12">
        <v>75</v>
      </c>
      <c r="E21" s="12">
        <v>151.5</v>
      </c>
      <c r="F21" s="8">
        <v>75</v>
      </c>
    </row>
    <row r="22" spans="1:6" ht="15" x14ac:dyDescent="0.25">
      <c r="A22" s="7" t="s">
        <v>58</v>
      </c>
      <c r="B22" s="12">
        <v>-1</v>
      </c>
      <c r="C22" s="12">
        <v>-1</v>
      </c>
      <c r="D22" s="12">
        <v>-1</v>
      </c>
      <c r="E22" s="12">
        <v>-1</v>
      </c>
      <c r="F22" s="8">
        <v>-1</v>
      </c>
    </row>
    <row r="23" spans="1:6" ht="15" x14ac:dyDescent="0.25">
      <c r="A23" s="7" t="s">
        <v>31</v>
      </c>
      <c r="B23" s="12">
        <v>45</v>
      </c>
      <c r="C23" s="12">
        <v>133.4</v>
      </c>
      <c r="D23" s="12">
        <v>79.400000000000006</v>
      </c>
      <c r="E23" s="12">
        <v>160.9</v>
      </c>
      <c r="F23" s="8">
        <v>79.400000000000006</v>
      </c>
    </row>
    <row r="24" spans="1:6" ht="15" x14ac:dyDescent="0.25">
      <c r="A24" s="7" t="s">
        <v>32</v>
      </c>
      <c r="B24" s="12">
        <v>-1</v>
      </c>
      <c r="C24" s="12">
        <v>-1</v>
      </c>
      <c r="D24" s="12">
        <v>-1</v>
      </c>
      <c r="E24" s="12">
        <v>-1</v>
      </c>
      <c r="F24" s="8">
        <v>-1</v>
      </c>
    </row>
    <row r="25" spans="1:6" ht="15" x14ac:dyDescent="0.25">
      <c r="A25" s="7" t="s">
        <v>34</v>
      </c>
      <c r="B25" s="12">
        <v>43.3</v>
      </c>
      <c r="C25" s="12">
        <v>128.6</v>
      </c>
      <c r="D25" s="12">
        <v>79.400000000000006</v>
      </c>
      <c r="E25" s="12">
        <v>160.9</v>
      </c>
      <c r="F25" s="8">
        <v>79.400000000000006</v>
      </c>
    </row>
    <row r="26" spans="1:6" ht="15" x14ac:dyDescent="0.25">
      <c r="A26" s="7" t="s">
        <v>37</v>
      </c>
      <c r="B26" s="12">
        <v>49.1</v>
      </c>
      <c r="C26" s="12">
        <v>146.80000000000001</v>
      </c>
      <c r="D26" s="12">
        <v>90.9</v>
      </c>
      <c r="E26" s="12">
        <v>183.5</v>
      </c>
      <c r="F26" s="8">
        <v>90.9</v>
      </c>
    </row>
    <row r="27" spans="1:6" ht="15" x14ac:dyDescent="0.25">
      <c r="A27" s="7" t="s">
        <v>39</v>
      </c>
      <c r="B27" s="12">
        <v>51.8</v>
      </c>
      <c r="C27" s="12">
        <v>156.4</v>
      </c>
      <c r="D27" s="12">
        <v>93.1</v>
      </c>
      <c r="E27" s="12">
        <v>188.1</v>
      </c>
      <c r="F27" s="8">
        <v>93.1</v>
      </c>
    </row>
    <row r="28" spans="1:6" ht="15" x14ac:dyDescent="0.25">
      <c r="A28" s="19" t="s">
        <v>82</v>
      </c>
      <c r="B28" s="32">
        <f>MIN(B6:B27)</f>
        <v>-1</v>
      </c>
      <c r="C28" s="32">
        <f>MIN(C6:C27)</f>
        <v>-1</v>
      </c>
      <c r="D28" s="32">
        <f>MIN(D6:D27)</f>
        <v>-1</v>
      </c>
      <c r="E28" s="32">
        <f>MIN(E6:E27)</f>
        <v>-1</v>
      </c>
      <c r="F28" s="32">
        <f>MIN(F6:F27)</f>
        <v>-1</v>
      </c>
    </row>
    <row r="29" spans="1:6" ht="15" x14ac:dyDescent="0.25">
      <c r="A29" s="19" t="s">
        <v>83</v>
      </c>
      <c r="B29" s="32">
        <f>MAX(B6:B27)</f>
        <v>51.8</v>
      </c>
      <c r="C29" s="32">
        <f>MAX(C6:C27)</f>
        <v>156.4</v>
      </c>
      <c r="D29" s="32">
        <f>MAX(D6:D27)</f>
        <v>93.1</v>
      </c>
      <c r="E29" s="32">
        <f>MAX(E6:E27)</f>
        <v>188.1</v>
      </c>
      <c r="F29" s="32">
        <f>MAX(F6:F27)</f>
        <v>93.1</v>
      </c>
    </row>
    <row r="30" spans="1:6" ht="15" x14ac:dyDescent="0.25">
      <c r="A30" s="19" t="s">
        <v>84</v>
      </c>
      <c r="B30" s="32">
        <f>AVERAGE(B6:B27)</f>
        <v>20.827272727272728</v>
      </c>
      <c r="C30" s="32">
        <f>AVERAGE(C6:C27)</f>
        <v>62.377272727272725</v>
      </c>
      <c r="D30" s="32">
        <f>AVERAGE(D6:D27)</f>
        <v>37.800000000000004</v>
      </c>
      <c r="E30" s="32">
        <f>AVERAGE(E6:E27)</f>
        <v>76.418181818181822</v>
      </c>
      <c r="F30" s="32">
        <f>AVERAGE(F6:F27)</f>
        <v>37.800000000000004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L11" sqref="L11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2" customFormat="1" ht="21" x14ac:dyDescent="0.35">
      <c r="A1" s="43" t="s">
        <v>56</v>
      </c>
      <c r="B1" s="42" t="s">
        <v>173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150</v>
      </c>
    </row>
    <row r="5" spans="1:10" ht="18.75" x14ac:dyDescent="0.3">
      <c r="A5" s="44" t="s">
        <v>53</v>
      </c>
      <c r="B5" s="41" t="s">
        <v>180</v>
      </c>
    </row>
    <row r="6" spans="1:10" ht="18.75" x14ac:dyDescent="0.3">
      <c r="A6" s="44" t="s">
        <v>152</v>
      </c>
      <c r="B6" s="48" t="s">
        <v>179</v>
      </c>
    </row>
    <row r="7" spans="1:10" ht="18.75" x14ac:dyDescent="0.3">
      <c r="A7" s="44"/>
      <c r="B7" s="41"/>
    </row>
    <row r="9" spans="1:10" ht="23.25" x14ac:dyDescent="0.35">
      <c r="A9" s="18" t="s">
        <v>164</v>
      </c>
      <c r="I9" s="2"/>
      <c r="J9" s="2"/>
    </row>
    <row r="10" spans="1:10" x14ac:dyDescent="0.25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161</v>
      </c>
    </row>
    <row r="15" spans="1:10" x14ac:dyDescent="0.25">
      <c r="A15" s="14" t="s">
        <v>103</v>
      </c>
      <c r="B15" s="17" t="s">
        <v>49</v>
      </c>
      <c r="C15" s="15" t="s">
        <v>178</v>
      </c>
      <c r="D15" s="17" t="s">
        <v>50</v>
      </c>
      <c r="E15" s="15" t="s">
        <v>51</v>
      </c>
      <c r="F15" s="17" t="s">
        <v>52</v>
      </c>
    </row>
    <row r="16" spans="1:10" x14ac:dyDescent="0.25">
      <c r="A16" s="7" t="s">
        <v>120</v>
      </c>
      <c r="B16" s="47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C22" sqref="C22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3" t="s">
        <v>85</v>
      </c>
      <c r="B1" s="42" t="s">
        <v>166</v>
      </c>
    </row>
    <row r="2" spans="1:3" ht="18.75" x14ac:dyDescent="0.3">
      <c r="B2" s="41" t="s">
        <v>165</v>
      </c>
    </row>
    <row r="5" spans="1:3" ht="15" x14ac:dyDescent="0.25">
      <c r="B5" s="1" t="s">
        <v>150</v>
      </c>
    </row>
    <row r="6" spans="1:3" ht="15" x14ac:dyDescent="0.25">
      <c r="A6" s="3" t="s">
        <v>53</v>
      </c>
      <c r="B6" s="1" t="s">
        <v>181</v>
      </c>
    </row>
    <row r="7" spans="1:3" ht="15" x14ac:dyDescent="0.25">
      <c r="A7" s="3" t="s">
        <v>152</v>
      </c>
      <c r="B7" s="1" t="s">
        <v>184</v>
      </c>
    </row>
    <row r="10" spans="1:3" ht="23.25" x14ac:dyDescent="0.35">
      <c r="A10" s="18" t="s">
        <v>161</v>
      </c>
    </row>
    <row r="11" spans="1:3" ht="15" x14ac:dyDescent="0.25">
      <c r="A11" s="33" t="s">
        <v>86</v>
      </c>
      <c r="B11" s="17" t="s">
        <v>87</v>
      </c>
      <c r="C11" s="17" t="s">
        <v>88</v>
      </c>
    </row>
    <row r="12" spans="1:3" ht="15" x14ac:dyDescent="0.25">
      <c r="A12" s="33">
        <v>44927</v>
      </c>
      <c r="B12" s="17" t="s">
        <v>59</v>
      </c>
      <c r="C12" s="17">
        <v>200</v>
      </c>
    </row>
    <row r="13" spans="1:3" ht="15" x14ac:dyDescent="0.25">
      <c r="A13" s="33">
        <v>44928</v>
      </c>
      <c r="B13" s="17" t="s">
        <v>60</v>
      </c>
      <c r="C13" s="17" t="e">
        <v>#N/A</v>
      </c>
    </row>
    <row r="14" spans="1:3" ht="15" x14ac:dyDescent="0.25">
      <c r="A14" s="33">
        <v>44929</v>
      </c>
      <c r="B14" s="17" t="s">
        <v>61</v>
      </c>
      <c r="C14" s="17">
        <v>50</v>
      </c>
    </row>
    <row r="15" spans="1:3" ht="15" x14ac:dyDescent="0.25">
      <c r="A15" s="33">
        <v>44930</v>
      </c>
      <c r="B15" s="17" t="s">
        <v>62</v>
      </c>
      <c r="C15" s="17" t="e">
        <v>#N/A</v>
      </c>
    </row>
    <row r="16" spans="1:3" ht="15" x14ac:dyDescent="0.25">
      <c r="A16" s="33">
        <v>44931</v>
      </c>
      <c r="B16" s="17" t="s">
        <v>63</v>
      </c>
      <c r="C16" s="17">
        <v>10</v>
      </c>
    </row>
    <row r="17" spans="1:3" ht="15" x14ac:dyDescent="0.25">
      <c r="A17" s="33">
        <v>44932</v>
      </c>
      <c r="B17" s="17" t="s">
        <v>153</v>
      </c>
      <c r="C17" s="17">
        <v>150</v>
      </c>
    </row>
    <row r="18" spans="1:3" ht="15" x14ac:dyDescent="0.25">
      <c r="A18" s="33">
        <v>44933</v>
      </c>
      <c r="B18" s="17" t="s">
        <v>154</v>
      </c>
      <c r="C18" s="17">
        <v>80</v>
      </c>
    </row>
    <row r="19" spans="1:3" ht="15" x14ac:dyDescent="0.25">
      <c r="A19" s="33">
        <v>44934</v>
      </c>
      <c r="B19" s="17" t="s">
        <v>155</v>
      </c>
      <c r="C19" s="17" t="e">
        <v>#N/A</v>
      </c>
    </row>
    <row r="20" spans="1:3" ht="15" x14ac:dyDescent="0.25">
      <c r="A20" s="33">
        <v>44935</v>
      </c>
      <c r="B20" s="17" t="s">
        <v>156</v>
      </c>
      <c r="C20" s="17">
        <v>30</v>
      </c>
    </row>
    <row r="21" spans="1:3" ht="15" x14ac:dyDescent="0.25">
      <c r="A21" s="33">
        <v>44936</v>
      </c>
      <c r="B21" s="17" t="s">
        <v>157</v>
      </c>
      <c r="C21" s="17" t="e">
        <v>#N/A</v>
      </c>
    </row>
    <row r="22" spans="1:3" ht="15" x14ac:dyDescent="0.25">
      <c r="B22" s="17" t="s">
        <v>158</v>
      </c>
      <c r="C22" s="25">
        <f t="array" ref="C22">SUM(IFERROR(C12:C21, 20 ))</f>
        <v>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opLeftCell="A23" zoomScaleNormal="100" workbookViewId="0">
      <selection activeCell="A8" sqref="A8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3" t="s">
        <v>98</v>
      </c>
      <c r="B1" s="42" t="s">
        <v>174</v>
      </c>
    </row>
    <row r="3" spans="1:14" ht="15" x14ac:dyDescent="0.25">
      <c r="B3" s="1" t="s">
        <v>150</v>
      </c>
    </row>
    <row r="4" spans="1:14" ht="18.75" x14ac:dyDescent="0.3">
      <c r="A4" s="44" t="s">
        <v>53</v>
      </c>
      <c r="B4" s="1"/>
      <c r="C4" s="2" t="s">
        <v>182</v>
      </c>
    </row>
    <row r="5" spans="1:14" ht="18.75" x14ac:dyDescent="0.3">
      <c r="A5" s="44" t="s">
        <v>152</v>
      </c>
      <c r="B5" s="1" t="s">
        <v>183</v>
      </c>
    </row>
    <row r="6" spans="1:14" ht="15" x14ac:dyDescent="0.25">
      <c r="A6" s="3"/>
      <c r="B6" s="1"/>
    </row>
    <row r="8" spans="1:14" ht="23.25" x14ac:dyDescent="0.35">
      <c r="A8" s="18" t="s">
        <v>161</v>
      </c>
      <c r="M8" s="18" t="s">
        <v>162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167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2">
        <f>INDEX($B$10:$J$18, MATCH(VLOOKUP(A23, $M$10:$N$18, 2, FALSE), $A$10:$A$18, 0), MATCH(VLOOKUP(B23, $M$10:$N$18, 2, FALSE), $B$9:$J$9, 0))</f>
        <v>95</v>
      </c>
    </row>
    <row r="24" spans="1:14" ht="15" x14ac:dyDescent="0.25">
      <c r="A24" s="7">
        <v>10100</v>
      </c>
      <c r="B24" s="12">
        <v>10104</v>
      </c>
      <c r="C24" s="2">
        <f t="shared" ref="C24:C35" si="0">INDEX($B$10:$J$18, MATCH(VLOOKUP(A24, $M$10:$N$18, 2, FALSE), $A$10:$A$18, 0), MATCH(VLOOKUP(B24, $M$10:$N$18, 2, FALSE), $B$9:$J$9, 0))</f>
        <v>-1</v>
      </c>
    </row>
    <row r="25" spans="1:14" ht="15" x14ac:dyDescent="0.25">
      <c r="A25" s="7">
        <v>10108</v>
      </c>
      <c r="B25" s="12">
        <v>10102</v>
      </c>
      <c r="C25" s="2">
        <f t="shared" si="0"/>
        <v>160</v>
      </c>
    </row>
    <row r="26" spans="1:14" ht="15" x14ac:dyDescent="0.25">
      <c r="A26" s="7">
        <v>10100</v>
      </c>
      <c r="B26" s="12">
        <v>10106</v>
      </c>
      <c r="C26" s="2">
        <f t="shared" si="0"/>
        <v>185</v>
      </c>
    </row>
    <row r="27" spans="1:14" ht="15" x14ac:dyDescent="0.25">
      <c r="A27" s="7">
        <v>10108</v>
      </c>
      <c r="B27" s="12">
        <v>10110</v>
      </c>
      <c r="C27" s="2">
        <f t="shared" si="0"/>
        <v>50</v>
      </c>
    </row>
    <row r="28" spans="1:14" ht="15" x14ac:dyDescent="0.25">
      <c r="A28" s="7">
        <v>10102</v>
      </c>
      <c r="B28" s="12">
        <v>10104</v>
      </c>
      <c r="C28" s="2">
        <f t="shared" si="0"/>
        <v>-1</v>
      </c>
    </row>
    <row r="29" spans="1:14" ht="15" x14ac:dyDescent="0.25">
      <c r="A29" s="7">
        <v>10106</v>
      </c>
      <c r="B29" s="12">
        <v>10108</v>
      </c>
      <c r="C29" s="2">
        <f t="shared" si="0"/>
        <v>70</v>
      </c>
    </row>
    <row r="30" spans="1:14" ht="15" x14ac:dyDescent="0.25">
      <c r="A30" s="7">
        <v>10102</v>
      </c>
      <c r="B30" s="12">
        <v>10106</v>
      </c>
      <c r="C30" s="2">
        <f t="shared" si="0"/>
        <v>90</v>
      </c>
    </row>
    <row r="31" spans="1:14" ht="15" x14ac:dyDescent="0.25">
      <c r="A31" s="7">
        <v>10110</v>
      </c>
      <c r="B31" s="12">
        <v>10114</v>
      </c>
      <c r="C31" s="2">
        <f t="shared" si="0"/>
        <v>180</v>
      </c>
    </row>
    <row r="32" spans="1:14" ht="15" x14ac:dyDescent="0.25">
      <c r="A32" s="7">
        <v>10104</v>
      </c>
      <c r="B32" s="12">
        <v>10106</v>
      </c>
      <c r="C32" s="2">
        <f t="shared" si="0"/>
        <v>60</v>
      </c>
    </row>
    <row r="33" spans="1:3" ht="15" x14ac:dyDescent="0.25">
      <c r="A33" s="7">
        <v>10110</v>
      </c>
      <c r="B33" s="12">
        <v>10112</v>
      </c>
      <c r="C33" s="2">
        <f t="shared" si="0"/>
        <v>115</v>
      </c>
    </row>
    <row r="34" spans="1:3" ht="15" x14ac:dyDescent="0.25">
      <c r="A34" s="7">
        <v>10100</v>
      </c>
      <c r="B34" s="12">
        <v>10114</v>
      </c>
      <c r="C34" s="2">
        <f t="shared" si="0"/>
        <v>480</v>
      </c>
    </row>
    <row r="35" spans="1:3" ht="15" x14ac:dyDescent="0.25">
      <c r="A35" s="9">
        <v>10112</v>
      </c>
      <c r="B35" s="13">
        <v>10116</v>
      </c>
      <c r="C35" s="2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Dataset</vt:lpstr>
      <vt:lpstr>Task_1</vt:lpstr>
      <vt:lpstr>task 1 answer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Hp</cp:lastModifiedBy>
  <dcterms:created xsi:type="dcterms:W3CDTF">2015-02-10T17:33:11Z</dcterms:created>
  <dcterms:modified xsi:type="dcterms:W3CDTF">2024-10-24T09:10:44Z</dcterms:modified>
</cp:coreProperties>
</file>